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data" sheetId="1" state="visible" r:id="rId3"/>
    <sheet name="cleaned_data" sheetId="2" state="visible" r:id="rId4"/>
    <sheet name="dummy_variables" sheetId="3" state="visible" r:id="rId5"/>
    <sheet name="simple_regression" sheetId="4" state="visible" r:id="rId6"/>
    <sheet name="multiple_regression" sheetId="5" state="visible" r:id="rId7"/>
    <sheet name="predictions_residuals" sheetId="6" state="visible" r:id="rId8"/>
    <sheet name="model_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<sst xmlns="http://schemas.openxmlformats.org/spreadsheetml/2006/main" count="2099" uniqueCount="174">
  <si>
    <t xml:space="preserve">store_id</t>
  </si>
  <si>
    <t xml:space="preserve">month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</si>
  <si>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</si>
  <si>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</si>
  <si>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</si>
  <si>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</si>
  <si>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</si>
  <si>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staff_count</t>
  </si>
  <si>
    <t xml:space="preserve">inventory_availability_pct</t>
  </si>
  <si>
    <t xml:space="preserve">competitor_distance_km</t>
  </si>
  <si>
    <t xml:space="preserve">holiday_flag</t>
  </si>
  <si>
    <t xml:space="preserve">customer_rating</t>
  </si>
  <si>
    <t xml:space="preserve">monthly_sales</t>
  </si>
  <si>
    <t xml:space="preserve">monthly_profit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</si>
  <si>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</si>
  <si>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</si>
  <si>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</si>
  <si>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</si>
  <si>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</si>
  <si>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</si>
  <si>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</si>
  <si>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</si>
  <si>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</si>
  <si>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</si>
  <si>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</si>
  <si>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</si>
  <si>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</si>
  <si>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</si>
  <si>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</si>
  <si>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</si>
  <si>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</si>
  <si>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</si>
  <si>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</si>
  <si>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</si>
  <si>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</si>
  <si>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</si>
  <si>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</si>
  <si>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</si>
  <si>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</si>
  <si>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</si>
  <si>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</si>
  <si>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</si>
  <si>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</si>
  <si>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</si>
  <si>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</si>
  <si>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</si>
  <si>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</si>
  <si>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</si>
  <si>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</si>
  <si>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</si>
  <si>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</si>
  <si>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</si>
  <si>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</si>
  <si>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</si>
  <si>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</si>
  <si>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</si>
  <si>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</si>
  <si>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</si>
  <si>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</si>
  <si>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</si>
  <si>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</si>
  <si>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</si>
  <si>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</si>
  <si>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</si>
  <si>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</si>
  <si>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</si>
  <si>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</si>
  <si>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</si>
  <si>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</si>
  <si>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</si>
  <si>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</si>
  <si>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</si>
  <si>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</si>
  <si>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</si>
  <si>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</si>
  <si>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</si>
  <si>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</si>
  <si>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</si>
  <si>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</si>
  <si>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</si>
  <si>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</si>
  <si>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</si>
  <si>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</si>
  <si>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</si>
  <si>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</si>
  <si>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</si>
  <si>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</si>
  <si>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</si>
  <si>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</si>
  <si>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</si>
  <si>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</si>
  <si>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</si>
  <si>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</si>
  <si>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</si>
  <si>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</si>
  <si>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</si>
  <si>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</si>
  <si>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</si>
  <si>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</si>
  <si>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</si>
  <si>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</si>
  <si>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</si>
  <si>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Dummy Variable Creation</t>
  </si>
  <si>
    <t xml:space="preserve">store_type (reference category = "High Street") and region (reference category = "East") are converted to 0/1 dummy columns. Reference categories are dropped to avoid the dummy-variable trap (perfect multicollinearity if all categories are included alongside an intercept).</t>
  </si>
  <si>
    <t xml:space="preserve">store_type_Mall</t>
  </si>
  <si>
    <t xml:space="preserve">store_type_Residential</t>
  </si>
  <si>
    <t xml:space="preserve">store_type_Airport</t>
  </si>
  <si>
    <t xml:space="preserve">region_North</t>
  </si>
  <si>
    <t xml:space="preserve">region_South</t>
  </si>
  <si>
    <t xml:space="preserve">region_West</t>
  </si>
  <si>
    <t xml:space="preserve">Simple Linear Regression Models (monthly_sales as dependent variable)</t>
  </si>
  <si>
    <t xml:space="preserve">Model A: monthly_sales ~ marketing_spend</t>
  </si>
  <si>
    <t xml:space="preserve">Statistic</t>
  </si>
  <si>
    <t xml:space="preserve">Value</t>
  </si>
  <si>
    <t xml:space="preserve">Notes</t>
  </si>
  <si>
    <t xml:space="preserve">Slope (coefficient)</t>
  </si>
  <si>
    <t xml:space="preserve">Change in monthly_sales per 1-unit increase in marketing_spend</t>
  </si>
  <si>
    <t xml:space="preserve">Intercept</t>
  </si>
  <si>
    <t xml:space="preserve">Predicted monthly_sales when the independent variable is 0</t>
  </si>
  <si>
    <t xml:space="preserve">R-squared</t>
  </si>
  <si>
    <t xml:space="preserve">Share of variance in monthly_sales explained by this variable alone</t>
  </si>
  <si>
    <t xml:space="preserve">N (observations)</t>
  </si>
  <si>
    <t xml:space="preserve">Standard error of slope</t>
  </si>
  <si>
    <t xml:space="preserve">t-statistic</t>
  </si>
  <si>
    <t xml:space="preserve">P-value (two-tailed)</t>
  </si>
  <si>
    <t xml:space="preserve">Regression equation</t>
  </si>
  <si>
    <t xml:space="preserve">Model B: monthly_sales ~ footfall</t>
  </si>
  <si>
    <t xml:space="preserve">Change in monthly_sales per 1-unit increase in footfall</t>
  </si>
  <si>
    <t xml:space="preserve">Model C: monthly_sales ~ inventory_availability_pct</t>
  </si>
  <si>
    <t xml:space="preserve">Change in monthly_sales per 1-unit increase in inventory_availability_pct</t>
  </si>
  <si>
    <t xml:space="preserve">Multiple Regression Model: monthly_sales ~ all predictors (with dummy variables)</t>
  </si>
  <si>
    <t xml:space="preserve">Reference categories (omitted to avoid the dummy-variable trap): store_type = "High Street", region = "East". All dummy coefficients are interpreted relative to these reference groups.</t>
  </si>
  <si>
    <t xml:space="preserve">Predictor matrix (materialized for LINEST; mirrors cleaned_data / dummy_variables)</t>
  </si>
  <si>
    <t xml:space="preserve">row#</t>
  </si>
  <si>
    <t xml:space="preserve">Regression Results</t>
  </si>
  <si>
    <t xml:space="preserve">Variable</t>
  </si>
  <si>
    <t xml:space="preserve">Coefficient</t>
  </si>
  <si>
    <t xml:space="preserve">Std. Error</t>
  </si>
  <si>
    <t xml:space="preserve">t-stat</t>
  </si>
  <si>
    <t xml:space="preserve">P-value</t>
  </si>
  <si>
    <t xml:space="preserve">Lower 95%</t>
  </si>
  <si>
    <t xml:space="preserve">Upper 95%</t>
  </si>
  <si>
    <t xml:space="preserve">Model Fit Statistics</t>
  </si>
  <si>
    <t xml:space="preserve">Adjusted R-squared</t>
  </si>
  <si>
    <t xml:space="preserve">Std error of regression</t>
  </si>
  <si>
    <t xml:space="preserve">F-statistic</t>
  </si>
  <si>
    <t xml:space="preserve">Residual degrees of freedom</t>
  </si>
  <si>
    <t xml:space="preserve">Predicted Sales and Residuals (Final Multiple Regression Model)</t>
  </si>
  <si>
    <t xml:space="preserve">monthly_sales (actual)</t>
  </si>
  <si>
    <t xml:space="preserve">predicted_sales</t>
  </si>
  <si>
    <t xml:space="preserve">residual</t>
  </si>
  <si>
    <t xml:space="preserve">Top 5 Largest Positive Residuals (model under-predicts these)</t>
  </si>
  <si>
    <t xml:space="preserve">Rank</t>
  </si>
  <si>
    <t xml:space="preserve">actual</t>
  </si>
  <si>
    <t xml:space="preserve">predicted</t>
  </si>
  <si>
    <t xml:space="preserve">Top 5 Largest Negative Residuals (model over-predicts these)</t>
  </si>
  <si>
    <t xml:space="preserve">Residual Diagnostics</t>
  </si>
  <si>
    <t xml:space="preserve">Mean residual</t>
  </si>
  <si>
    <t xml:space="preserve">Residual std. dev (RMSE approx.)</t>
  </si>
  <si>
    <t xml:space="preserve">Model Comparison: Simple vs Multiple Regression</t>
  </si>
  <si>
    <t xml:space="preserve">Model</t>
  </si>
  <si>
    <t xml:space="preserve">Independent Variable(s)</t>
  </si>
  <si>
    <t xml:space="preserve">Key P-value(s)</t>
  </si>
  <si>
    <t xml:space="preserve">N</t>
  </si>
  <si>
    <t xml:space="preserve">Model A: Simple — marketing_spend</t>
  </si>
  <si>
    <t xml:space="preserve">Significant but explains only ~17% of variance alone</t>
  </si>
  <si>
    <t xml:space="preserve">Model B: Simple — footfall</t>
  </si>
  <si>
    <t xml:space="preserve">Strongest single predictor; explains ~74% of variance alone</t>
  </si>
  <si>
    <t xml:space="preserve">Model C: Simple — inventory_availability_pct</t>
  </si>
  <si>
    <t xml:space="preserve">Statistically significant but practically very weak (R² ≈ 0.01)</t>
  </si>
  <si>
    <t xml:space="preserve">Model D: Multiple regression (final model)</t>
  </si>
  <si>
    <t xml:space="preserve">footfall, marketing_spend, staff_count, inventory_availability_pct, avg_discount_pct, holiday_flag, store_type (dummies), region (dummies)</t>
  </si>
  <si>
    <t xml:space="preserve">see analysis/model_comparison.md for full p-value table</t>
  </si>
  <si>
    <t xml:space="preserve">Best explanatory power; controls for store type, region, and other drivers simultaneously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</si>
</sst>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.0000"/>
    <numFmt numFmtId="167" formatCode="0.00"/>
    <numFmt numFmtId="168" formatCode="0.000000"/>
    <numFmt numFmtId="169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FFF2CC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7F9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26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17"/>
    <col collapsed="false" customWidth="true" hidden="false" outlineLevel="0" max="13" min="13" style="1" width="15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1" t="s">
        <v>14</v>
      </c>
      <c r="B2" s="3" t="n">
        <v>45658</v>
      </c>
      <c r="C2" s="1" t="s">
        <v>15</v>
      </c>
      <c r="D2" s="1" t="s">
        <v>16</v>
      </c>
      <c r="E2" s="1" t="n">
        <v>70389.11</v>
      </c>
      <c r="F2" s="1" t="n">
        <v>8302</v>
      </c>
      <c r="G2" s="1" t="n">
        <v>0.042</v>
      </c>
      <c r="H2" s="1" t="n">
        <v>17</v>
      </c>
      <c r="I2" s="1" t="n">
        <v>75</v>
      </c>
      <c r="J2" s="1" t="n">
        <v>5.28</v>
      </c>
      <c r="K2" s="1" t="n">
        <v>1</v>
      </c>
      <c r="L2" s="1" t="n">
        <v>3.1</v>
      </c>
      <c r="M2" s="1" t="n">
        <v>658832.62</v>
      </c>
      <c r="N2" s="1" t="n">
        <v>84349.93</v>
      </c>
    </row>
    <row r="3" customFormat="false" ht="15" hidden="false" customHeight="true" outlineLevel="0" collapsed="false">
      <c r="A3" s="1" t="s">
        <v>14</v>
      </c>
      <c r="B3" s="3" t="n">
        <v>45689</v>
      </c>
      <c r="C3" s="1" t="s">
        <v>15</v>
      </c>
      <c r="D3" s="1" t="s">
        <v>16</v>
      </c>
      <c r="E3" s="1" t="n">
        <v>43827.89</v>
      </c>
      <c r="F3" s="1" t="n">
        <v>8487</v>
      </c>
      <c r="G3" s="1" t="n">
        <v>0.168</v>
      </c>
      <c r="H3" s="1" t="n">
        <v>23</v>
      </c>
      <c r="I3" s="1" t="n">
        <v>84.4</v>
      </c>
      <c r="J3" s="1" t="n">
        <v>4.31</v>
      </c>
      <c r="K3" s="1" t="n">
        <v>0</v>
      </c>
      <c r="L3" s="1" t="n">
        <v>2.8</v>
      </c>
      <c r="M3" s="1" t="n">
        <v>634436</v>
      </c>
      <c r="N3" s="1" t="n">
        <v>106130.54</v>
      </c>
    </row>
    <row r="4" customFormat="false" ht="15" hidden="false" customHeight="true" outlineLevel="0" collapsed="false">
      <c r="A4" s="1" t="s">
        <v>14</v>
      </c>
      <c r="B4" s="3" t="n">
        <v>45717</v>
      </c>
      <c r="C4" s="1" t="s">
        <v>15</v>
      </c>
      <c r="D4" s="1" t="s">
        <v>16</v>
      </c>
      <c r="E4" s="1" t="n">
        <v>59921.75</v>
      </c>
      <c r="F4" s="1" t="n">
        <v>9113</v>
      </c>
      <c r="G4" s="1" t="n">
        <v>0.133</v>
      </c>
      <c r="H4" s="1" t="n">
        <v>20</v>
      </c>
      <c r="I4" s="1" t="n">
        <v>88</v>
      </c>
      <c r="J4" s="1" t="n">
        <v>12</v>
      </c>
      <c r="K4" s="1" t="n">
        <v>0</v>
      </c>
      <c r="L4" s="1" t="n">
        <v>3.2</v>
      </c>
      <c r="M4" s="1" t="n">
        <v>678722.06</v>
      </c>
      <c r="N4" s="1" t="n">
        <v>101883.86</v>
      </c>
    </row>
    <row r="5" customFormat="false" ht="15" hidden="false" customHeight="true" outlineLevel="0" collapsed="false">
      <c r="A5" s="1" t="s">
        <v>14</v>
      </c>
      <c r="B5" s="3" t="n">
        <v>45748</v>
      </c>
      <c r="C5" s="1" t="s">
        <v>15</v>
      </c>
      <c r="D5" s="1" t="s">
        <v>16</v>
      </c>
      <c r="E5" s="1" t="n">
        <v>56856.63</v>
      </c>
      <c r="F5" s="1" t="n">
        <v>9431</v>
      </c>
      <c r="G5" s="1" t="n">
        <v>0.142</v>
      </c>
      <c r="H5" s="1" t="n">
        <v>23</v>
      </c>
      <c r="I5" s="1" t="n">
        <v>86.9</v>
      </c>
      <c r="J5" s="1" t="n">
        <v>4.97</v>
      </c>
      <c r="K5" s="1" t="n">
        <v>0</v>
      </c>
      <c r="L5" s="1" t="n">
        <v>3.4</v>
      </c>
      <c r="M5" s="1" t="n">
        <v>658920.3</v>
      </c>
      <c r="N5" s="1" t="n">
        <v>97910.37</v>
      </c>
    </row>
    <row r="6" customFormat="false" ht="15" hidden="false" customHeight="true" outlineLevel="0" collapsed="false">
      <c r="A6" s="1" t="s">
        <v>17</v>
      </c>
      <c r="B6" s="3" t="n">
        <v>45658</v>
      </c>
      <c r="C6" s="1" t="s">
        <v>15</v>
      </c>
      <c r="D6" s="1" t="s">
        <v>18</v>
      </c>
      <c r="E6" s="1" t="n">
        <v>48412.64</v>
      </c>
      <c r="F6" s="1" t="n">
        <v>9545</v>
      </c>
      <c r="G6" s="1" t="n">
        <v>0.231</v>
      </c>
      <c r="H6" s="1" t="n">
        <v>21</v>
      </c>
      <c r="I6" s="1" t="n">
        <v>97.6</v>
      </c>
      <c r="J6" s="1" t="n">
        <v>6.94</v>
      </c>
      <c r="K6" s="1" t="n">
        <v>1</v>
      </c>
      <c r="L6" s="1" t="n">
        <v>4.2</v>
      </c>
      <c r="M6" s="1" t="n">
        <v>741341.44</v>
      </c>
      <c r="N6" s="1" t="n">
        <v>119208.17</v>
      </c>
    </row>
    <row r="7" customFormat="false" ht="15" hidden="false" customHeight="true" outlineLevel="0" collapsed="false">
      <c r="A7" s="1" t="s">
        <v>17</v>
      </c>
      <c r="B7" s="3" t="n">
        <v>45689</v>
      </c>
      <c r="C7" s="1" t="s">
        <v>15</v>
      </c>
      <c r="D7" s="1" t="s">
        <v>18</v>
      </c>
      <c r="E7" s="1" t="n">
        <v>64811.21</v>
      </c>
      <c r="F7" s="1" t="n">
        <v>9792</v>
      </c>
      <c r="G7" s="1" t="n">
        <v>0.112</v>
      </c>
      <c r="H7" s="1" t="n">
        <v>20</v>
      </c>
      <c r="I7" s="1" t="n">
        <v>84.2</v>
      </c>
      <c r="J7" s="1" t="n">
        <v>2.88</v>
      </c>
      <c r="K7" s="1" t="n">
        <v>0</v>
      </c>
      <c r="L7" s="1" t="n">
        <v>4.2</v>
      </c>
      <c r="M7" s="1" t="n">
        <v>761835.34</v>
      </c>
      <c r="N7" s="1" t="n">
        <v>149602.23</v>
      </c>
    </row>
    <row r="8" customFormat="false" ht="15" hidden="false" customHeight="true" outlineLevel="0" collapsed="false">
      <c r="A8" s="1" t="s">
        <v>17</v>
      </c>
      <c r="B8" s="3" t="n">
        <v>45717</v>
      </c>
      <c r="C8" s="1" t="s">
        <v>15</v>
      </c>
      <c r="D8" s="1" t="s">
        <v>18</v>
      </c>
      <c r="E8" s="1" t="n">
        <v>46213.45</v>
      </c>
      <c r="F8" s="1" t="n">
        <v>10616</v>
      </c>
      <c r="G8" s="1" t="n">
        <v>0.122</v>
      </c>
      <c r="H8" s="1" t="n">
        <v>22</v>
      </c>
      <c r="I8" s="1" t="n">
        <v>85.2</v>
      </c>
      <c r="J8" s="1" t="n">
        <v>0.2</v>
      </c>
      <c r="K8" s="1" t="n">
        <v>1</v>
      </c>
      <c r="L8" s="1" t="n">
        <v>4.1</v>
      </c>
      <c r="M8" s="1" t="n">
        <v>806615.54</v>
      </c>
      <c r="N8" s="1" t="n">
        <v>131364.62</v>
      </c>
    </row>
    <row r="9" customFormat="false" ht="15" hidden="false" customHeight="true" outlineLevel="0" collapsed="false">
      <c r="A9" s="1" t="s">
        <v>17</v>
      </c>
      <c r="B9" s="3" t="n">
        <v>45748</v>
      </c>
      <c r="C9" s="1" t="s">
        <v>15</v>
      </c>
      <c r="D9" s="1" t="s">
        <v>18</v>
      </c>
      <c r="E9" s="1" t="n">
        <v>68148.52</v>
      </c>
      <c r="F9" s="1" t="n">
        <v>8567</v>
      </c>
      <c r="G9" s="1" t="n">
        <v>0.127</v>
      </c>
      <c r="H9" s="1" t="n">
        <v>23</v>
      </c>
      <c r="I9" s="1" t="n">
        <v>95.6</v>
      </c>
      <c r="J9" s="1" t="n">
        <v>0.8</v>
      </c>
      <c r="K9" s="1" t="n">
        <v>0</v>
      </c>
      <c r="L9" s="1" t="n">
        <v>3.9</v>
      </c>
      <c r="M9" s="1" t="n">
        <v>850164.26</v>
      </c>
      <c r="N9" s="1" t="n">
        <v>149262.75</v>
      </c>
    </row>
    <row r="10" customFormat="false" ht="15" hidden="false" customHeight="true" outlineLevel="0" collapsed="false">
      <c r="A10" s="1" t="s">
        <v>19</v>
      </c>
      <c r="B10" s="3" t="n">
        <v>45658</v>
      </c>
      <c r="C10" s="1" t="s">
        <v>20</v>
      </c>
      <c r="D10" s="1" t="s">
        <v>21</v>
      </c>
      <c r="E10" s="1" t="n">
        <v>71838.86</v>
      </c>
      <c r="F10" s="1" t="n">
        <v>10979</v>
      </c>
      <c r="G10" s="1" t="n">
        <v>0.215</v>
      </c>
      <c r="H10" s="1" t="n">
        <v>26</v>
      </c>
      <c r="I10" s="1" t="n">
        <v>88.6</v>
      </c>
      <c r="J10" s="1" t="n">
        <v>7.7</v>
      </c>
      <c r="K10" s="1" t="n">
        <v>1</v>
      </c>
      <c r="L10" s="1" t="n">
        <v>3.8</v>
      </c>
      <c r="M10" s="1" t="n">
        <v>930581.7</v>
      </c>
      <c r="N10" s="1" t="n">
        <v>136207.98</v>
      </c>
    </row>
    <row r="11" customFormat="false" ht="15" hidden="false" customHeight="true" outlineLevel="0" collapsed="false">
      <c r="A11" s="1" t="s">
        <v>19</v>
      </c>
      <c r="B11" s="3" t="n">
        <v>45689</v>
      </c>
      <c r="C11" s="1" t="s">
        <v>20</v>
      </c>
      <c r="D11" s="1" t="s">
        <v>21</v>
      </c>
      <c r="E11" s="1" t="n">
        <v>68133.44</v>
      </c>
      <c r="F11" s="1" t="n">
        <v>9459</v>
      </c>
      <c r="G11" s="1" t="n">
        <v>0.22</v>
      </c>
      <c r="H11" s="1" t="n">
        <v>21</v>
      </c>
      <c r="I11" s="1" t="n">
        <v>85</v>
      </c>
      <c r="J11" s="1" t="n">
        <v>1.91</v>
      </c>
      <c r="K11" s="1" t="n">
        <v>0</v>
      </c>
      <c r="L11" s="1" t="n">
        <v>4.2</v>
      </c>
      <c r="M11" s="1" t="n">
        <v>779010.94</v>
      </c>
      <c r="N11" s="1" t="n">
        <v>106328.09</v>
      </c>
    </row>
    <row r="12" customFormat="false" ht="15" hidden="false" customHeight="true" outlineLevel="0" collapsed="false">
      <c r="A12" s="1" t="s">
        <v>19</v>
      </c>
      <c r="B12" s="3" t="n">
        <v>45717</v>
      </c>
      <c r="C12" s="1" t="s">
        <v>20</v>
      </c>
      <c r="D12" s="1" t="s">
        <v>21</v>
      </c>
      <c r="E12" s="1" t="n">
        <v>34285.21</v>
      </c>
      <c r="F12" s="1" t="n">
        <v>9172</v>
      </c>
      <c r="G12" s="1" t="n">
        <v>0.213</v>
      </c>
      <c r="H12" s="1" t="n">
        <v>22</v>
      </c>
      <c r="I12" s="1" t="n">
        <v>88.3</v>
      </c>
      <c r="J12" s="1" t="n">
        <v>10.46</v>
      </c>
      <c r="K12" s="1" t="n">
        <v>1</v>
      </c>
      <c r="L12" s="1" t="n">
        <v>3.8</v>
      </c>
      <c r="M12" s="1" t="n">
        <v>723060.76</v>
      </c>
      <c r="N12" s="1" t="n">
        <v>123131.24</v>
      </c>
    </row>
    <row r="13" customFormat="false" ht="15" hidden="false" customHeight="true" outlineLevel="0" collapsed="false">
      <c r="A13" s="1" t="s">
        <v>19</v>
      </c>
      <c r="B13" s="3" t="n">
        <v>45748</v>
      </c>
      <c r="C13" s="1" t="s">
        <v>20</v>
      </c>
      <c r="D13" s="1" t="s">
        <v>21</v>
      </c>
      <c r="E13" s="1" t="n">
        <v>67979.88</v>
      </c>
      <c r="F13" s="1" t="n">
        <v>11230</v>
      </c>
      <c r="G13" s="1" t="n">
        <v>0.002</v>
      </c>
      <c r="H13" s="1" t="n">
        <v>28</v>
      </c>
      <c r="I13" s="1" t="n">
        <v>85.3</v>
      </c>
      <c r="J13" s="1" t="n">
        <v>7.16</v>
      </c>
      <c r="K13" s="1" t="n">
        <v>0</v>
      </c>
      <c r="L13" s="1" t="n">
        <v>3.8</v>
      </c>
      <c r="M13" s="1" t="n">
        <v>910791.94</v>
      </c>
      <c r="N13" s="1" t="n">
        <v>158891.28</v>
      </c>
    </row>
    <row r="14" customFormat="false" ht="15" hidden="false" customHeight="true" outlineLevel="0" collapsed="false">
      <c r="A14" s="1" t="s">
        <v>22</v>
      </c>
      <c r="B14" s="3" t="n">
        <v>45658</v>
      </c>
      <c r="C14" s="1" t="s">
        <v>15</v>
      </c>
      <c r="D14" s="1" t="s">
        <v>16</v>
      </c>
      <c r="E14" s="1" t="n">
        <v>71828.26</v>
      </c>
      <c r="F14" s="1" t="n">
        <v>12775</v>
      </c>
      <c r="G14" s="1" t="n">
        <v>0.116</v>
      </c>
      <c r="H14" s="1" t="n">
        <v>30</v>
      </c>
      <c r="I14" s="1" t="n">
        <v>81.7</v>
      </c>
      <c r="J14" s="1" t="n">
        <v>4.24</v>
      </c>
      <c r="K14" s="1" t="n">
        <v>1</v>
      </c>
      <c r="L14" s="1" t="n">
        <v>4.2</v>
      </c>
      <c r="M14" s="1" t="n">
        <v>922168.6</v>
      </c>
      <c r="N14" s="1" t="n">
        <v>107494.53</v>
      </c>
    </row>
    <row r="15" customFormat="false" ht="15" hidden="false" customHeight="true" outlineLevel="0" collapsed="false">
      <c r="A15" s="1" t="s">
        <v>22</v>
      </c>
      <c r="B15" s="3" t="n">
        <v>45689</v>
      </c>
      <c r="C15" s="1" t="s">
        <v>15</v>
      </c>
      <c r="D15" s="1" t="s">
        <v>16</v>
      </c>
      <c r="E15" s="1" t="n">
        <v>55716.82</v>
      </c>
      <c r="F15" s="1" t="n">
        <v>10054</v>
      </c>
      <c r="G15" s="1" t="n">
        <v>0.146</v>
      </c>
      <c r="H15" s="1" t="n">
        <v>24</v>
      </c>
      <c r="I15" s="1" t="n">
        <v>84.9</v>
      </c>
      <c r="J15" s="1" t="n">
        <v>1.06</v>
      </c>
      <c r="K15" s="1" t="n">
        <v>0</v>
      </c>
      <c r="L15" s="1" t="n">
        <v>4.3</v>
      </c>
      <c r="M15" s="1" t="n">
        <v>726606.28</v>
      </c>
      <c r="N15" s="1" t="n">
        <v>122729.29</v>
      </c>
    </row>
    <row r="16" customFormat="false" ht="15" hidden="false" customHeight="true" outlineLevel="0" collapsed="false">
      <c r="A16" s="1" t="s">
        <v>22</v>
      </c>
      <c r="B16" s="3" t="n">
        <v>45717</v>
      </c>
      <c r="C16" s="1" t="s">
        <v>15</v>
      </c>
      <c r="D16" s="1" t="s">
        <v>16</v>
      </c>
      <c r="E16" s="1" t="n">
        <v>59909.51</v>
      </c>
      <c r="F16" s="1" t="n">
        <v>8895</v>
      </c>
      <c r="G16" s="1" t="n">
        <v>0.228</v>
      </c>
      <c r="H16" s="1" t="n">
        <v>23</v>
      </c>
      <c r="I16" s="1" t="n">
        <v>88.8</v>
      </c>
      <c r="J16" s="1" t="n">
        <v>0.27</v>
      </c>
      <c r="K16" s="1" t="n">
        <v>0</v>
      </c>
      <c r="L16" s="1" t="n">
        <v>4.3</v>
      </c>
      <c r="M16" s="1" t="n">
        <v>746501.09</v>
      </c>
      <c r="N16" s="1" t="n">
        <v>136816.72</v>
      </c>
    </row>
    <row r="17" customFormat="false" ht="15" hidden="false" customHeight="true" outlineLevel="0" collapsed="false">
      <c r="A17" s="1" t="s">
        <v>22</v>
      </c>
      <c r="B17" s="3" t="n">
        <v>45748</v>
      </c>
      <c r="C17" s="1" t="s">
        <v>15</v>
      </c>
      <c r="D17" s="1" t="s">
        <v>16</v>
      </c>
      <c r="E17" s="1" t="n">
        <v>75305.71</v>
      </c>
      <c r="F17" s="1" t="n">
        <v>10940</v>
      </c>
      <c r="G17" s="1" t="n">
        <v>0.006</v>
      </c>
      <c r="H17" s="1" t="n">
        <v>26</v>
      </c>
      <c r="I17" s="1" t="n">
        <v>76.5</v>
      </c>
      <c r="J17" s="1" t="n">
        <v>1.32</v>
      </c>
      <c r="K17" s="1" t="n">
        <v>0</v>
      </c>
      <c r="L17" s="1" t="n">
        <v>4.5</v>
      </c>
      <c r="M17" s="1" t="n">
        <v>834017.02</v>
      </c>
      <c r="N17" s="1" t="n">
        <v>114745.03</v>
      </c>
    </row>
    <row r="18" customFormat="false" ht="15" hidden="false" customHeight="true" outlineLevel="0" collapsed="false">
      <c r="A18" s="1" t="s">
        <v>23</v>
      </c>
      <c r="B18" s="3" t="n">
        <v>45658</v>
      </c>
      <c r="C18" s="1" t="s">
        <v>24</v>
      </c>
      <c r="D18" s="1" t="s">
        <v>16</v>
      </c>
      <c r="E18" s="1" t="n">
        <v>48804.22</v>
      </c>
      <c r="F18" s="1" t="n">
        <v>7057</v>
      </c>
      <c r="G18" s="1" t="n">
        <v>0.005</v>
      </c>
      <c r="H18" s="1" t="n">
        <v>15</v>
      </c>
      <c r="I18" s="1" t="n">
        <v>87.7</v>
      </c>
      <c r="J18" s="1" t="n">
        <v>1.22</v>
      </c>
      <c r="K18" s="1" t="n">
        <v>0</v>
      </c>
      <c r="L18" s="1" t="n">
        <v>3.7</v>
      </c>
      <c r="M18" s="1" t="n">
        <v>666152.52</v>
      </c>
      <c r="N18" s="1" t="n">
        <v>107490.58</v>
      </c>
    </row>
    <row r="19" customFormat="false" ht="15" hidden="false" customHeight="true" outlineLevel="0" collapsed="false">
      <c r="A19" s="1" t="s">
        <v>23</v>
      </c>
      <c r="B19" s="3" t="n">
        <v>45689</v>
      </c>
      <c r="C19" s="1" t="s">
        <v>24</v>
      </c>
      <c r="D19" s="1" t="s">
        <v>16</v>
      </c>
      <c r="E19" s="1" t="n">
        <v>59117.9</v>
      </c>
      <c r="F19" s="1" t="n">
        <v>4263</v>
      </c>
      <c r="G19" s="1" t="n">
        <v>0.119</v>
      </c>
      <c r="H19" s="1" t="n">
        <v>9</v>
      </c>
      <c r="I19" s="1" t="n">
        <v>87.6</v>
      </c>
      <c r="J19" s="1" t="n">
        <v>4.01</v>
      </c>
      <c r="K19" s="1" t="n">
        <v>0</v>
      </c>
      <c r="L19" s="1" t="n">
        <v>3.6</v>
      </c>
      <c r="M19" s="1" t="n">
        <v>573155.19</v>
      </c>
      <c r="N19" s="1" t="n">
        <v>83680.75</v>
      </c>
    </row>
    <row r="20" customFormat="false" ht="15" hidden="false" customHeight="true" outlineLevel="0" collapsed="false">
      <c r="A20" s="1" t="s">
        <v>23</v>
      </c>
      <c r="B20" s="3" t="n">
        <v>45717</v>
      </c>
      <c r="C20" s="1" t="s">
        <v>24</v>
      </c>
      <c r="D20" s="1" t="s">
        <v>16</v>
      </c>
      <c r="E20" s="1" t="n">
        <v>78831.12</v>
      </c>
      <c r="F20" s="1" t="n">
        <v>5538</v>
      </c>
      <c r="G20" s="1" t="n">
        <v>0</v>
      </c>
      <c r="H20" s="1" t="n">
        <v>15</v>
      </c>
      <c r="I20" s="1" t="n">
        <v>94.1</v>
      </c>
      <c r="J20" s="1" t="n">
        <v>0.2</v>
      </c>
      <c r="K20" s="1" t="n">
        <v>0</v>
      </c>
      <c r="L20" s="1" t="n">
        <v>3.9</v>
      </c>
      <c r="M20" s="1" t="n">
        <v>666573.2</v>
      </c>
      <c r="N20" s="1" t="n">
        <v>140641.02</v>
      </c>
    </row>
    <row r="21" customFormat="false" ht="15" hidden="false" customHeight="true" outlineLevel="0" collapsed="false">
      <c r="A21" s="1" t="s">
        <v>23</v>
      </c>
      <c r="B21" s="3" t="n">
        <v>45748</v>
      </c>
      <c r="C21" s="1" t="s">
        <v>24</v>
      </c>
      <c r="D21" s="1" t="s">
        <v>16</v>
      </c>
      <c r="E21" s="1" t="n">
        <v>41441.93</v>
      </c>
      <c r="F21" s="1" t="n">
        <v>4865</v>
      </c>
      <c r="G21" s="1" t="n">
        <v>0.158</v>
      </c>
      <c r="H21" s="1" t="n">
        <v>16</v>
      </c>
      <c r="I21" s="1" t="n">
        <v>88.3</v>
      </c>
      <c r="J21" s="1" t="n">
        <v>0.5</v>
      </c>
      <c r="K21" s="1" t="n">
        <v>0</v>
      </c>
      <c r="L21" s="1" t="n">
        <v>4</v>
      </c>
      <c r="M21" s="1" t="n">
        <v>591619.95</v>
      </c>
      <c r="N21" s="1" t="n">
        <v>99521.35</v>
      </c>
    </row>
    <row r="22" customFormat="false" ht="15" hidden="false" customHeight="true" outlineLevel="0" collapsed="false">
      <c r="A22" s="1" t="s">
        <v>25</v>
      </c>
      <c r="B22" s="3" t="n">
        <v>45658</v>
      </c>
      <c r="C22" s="1" t="s">
        <v>20</v>
      </c>
      <c r="D22" s="1" t="s">
        <v>16</v>
      </c>
      <c r="E22" s="1" t="n">
        <v>30356.28</v>
      </c>
      <c r="F22" s="1" t="n">
        <v>2822</v>
      </c>
      <c r="G22" s="1" t="n">
        <v>0.231</v>
      </c>
      <c r="H22" s="1" t="n">
        <v>9</v>
      </c>
      <c r="I22" s="1" t="n">
        <v>84.8</v>
      </c>
      <c r="J22" s="1" t="n">
        <v>6.95</v>
      </c>
      <c r="K22" s="1" t="n">
        <v>0</v>
      </c>
      <c r="L22" s="1" t="n">
        <v>5</v>
      </c>
      <c r="M22" s="1" t="n">
        <v>415721.82</v>
      </c>
      <c r="N22" s="1" t="n">
        <v>61179.15</v>
      </c>
    </row>
    <row r="23" customFormat="false" ht="15" hidden="false" customHeight="true" outlineLevel="0" collapsed="false">
      <c r="A23" s="1" t="s">
        <v>25</v>
      </c>
      <c r="B23" s="3" t="n">
        <v>45689</v>
      </c>
      <c r="C23" s="1" t="s">
        <v>20</v>
      </c>
      <c r="D23" s="1" t="s">
        <v>16</v>
      </c>
      <c r="E23" s="1" t="n">
        <v>33518.88</v>
      </c>
      <c r="F23" s="1" t="n">
        <v>2121</v>
      </c>
      <c r="G23" s="1" t="n">
        <v>0.176</v>
      </c>
      <c r="H23" s="1" t="n">
        <v>8</v>
      </c>
      <c r="I23" s="1" t="n">
        <v>88.5</v>
      </c>
      <c r="J23" s="1" t="n">
        <v>0.2</v>
      </c>
      <c r="K23" s="1" t="n">
        <v>0</v>
      </c>
      <c r="L23" s="1" t="n">
        <v>5</v>
      </c>
      <c r="M23" s="1" t="n">
        <v>491905.13</v>
      </c>
      <c r="N23" s="1" t="n">
        <v>79212.26</v>
      </c>
    </row>
    <row r="24" customFormat="false" ht="15" hidden="false" customHeight="true" outlineLevel="0" collapsed="false">
      <c r="A24" s="1" t="s">
        <v>25</v>
      </c>
      <c r="B24" s="3" t="n">
        <v>45717</v>
      </c>
      <c r="C24" s="1" t="s">
        <v>20</v>
      </c>
      <c r="D24" s="1" t="s">
        <v>16</v>
      </c>
      <c r="E24" s="1" t="n">
        <v>42267.37</v>
      </c>
      <c r="F24" s="1" t="n">
        <v>3364</v>
      </c>
      <c r="G24" s="1" t="n">
        <v>0.16</v>
      </c>
      <c r="H24" s="1" t="n">
        <v>13</v>
      </c>
      <c r="I24" s="1" t="n">
        <v>82</v>
      </c>
      <c r="J24" s="1" t="n">
        <v>1.61</v>
      </c>
      <c r="K24" s="1" t="n">
        <v>1</v>
      </c>
      <c r="L24" s="1" t="n">
        <v>4.6</v>
      </c>
      <c r="M24" s="1" t="n">
        <v>555929.4</v>
      </c>
      <c r="N24" s="1" t="n">
        <v>115201.76</v>
      </c>
    </row>
    <row r="25" customFormat="false" ht="15" hidden="false" customHeight="true" outlineLevel="0" collapsed="false">
      <c r="A25" s="1" t="s">
        <v>25</v>
      </c>
      <c r="B25" s="3" t="n">
        <v>45748</v>
      </c>
      <c r="C25" s="1" t="s">
        <v>20</v>
      </c>
      <c r="D25" s="1" t="s">
        <v>16</v>
      </c>
      <c r="E25" s="1" t="n">
        <v>62060.43</v>
      </c>
      <c r="F25" s="1" t="n">
        <v>2613</v>
      </c>
      <c r="G25" s="1" t="n">
        <v>0.216</v>
      </c>
      <c r="H25" s="1" t="n">
        <v>12</v>
      </c>
      <c r="I25" s="1" t="n">
        <v>92.1</v>
      </c>
      <c r="J25" s="1" t="n">
        <v>1.55</v>
      </c>
      <c r="K25" s="1" t="n">
        <v>0</v>
      </c>
      <c r="L25" s="1" t="n">
        <v>4.7</v>
      </c>
      <c r="M25" s="1" t="n">
        <v>565810.99</v>
      </c>
      <c r="N25" s="1" t="n">
        <v>77825.46</v>
      </c>
    </row>
    <row r="26" customFormat="false" ht="15" hidden="false" customHeight="true" outlineLevel="0" collapsed="false">
      <c r="A26" s="1" t="s">
        <v>26</v>
      </c>
      <c r="B26" s="3" t="n">
        <v>45658</v>
      </c>
      <c r="C26" s="1" t="s">
        <v>27</v>
      </c>
      <c r="D26" s="1" t="s">
        <v>28</v>
      </c>
      <c r="E26" s="1" t="n">
        <v>57696.69</v>
      </c>
      <c r="F26" s="1" t="n">
        <v>10218</v>
      </c>
      <c r="G26" s="1" t="n">
        <v>0.121</v>
      </c>
      <c r="H26" s="1" t="n">
        <v>25</v>
      </c>
      <c r="I26" s="1" t="n">
        <v>94.8</v>
      </c>
      <c r="J26" s="1" t="n">
        <v>2.99</v>
      </c>
      <c r="K26" s="1" t="n">
        <v>0</v>
      </c>
      <c r="L26" s="1" t="n">
        <v>3.5</v>
      </c>
      <c r="M26" s="1" t="n">
        <v>811771.14</v>
      </c>
      <c r="N26" s="1" t="n">
        <v>148756.24</v>
      </c>
    </row>
    <row r="27" customFormat="false" ht="15" hidden="false" customHeight="true" outlineLevel="0" collapsed="false">
      <c r="A27" s="1" t="s">
        <v>26</v>
      </c>
      <c r="B27" s="3" t="n">
        <v>45689</v>
      </c>
      <c r="C27" s="1" t="s">
        <v>27</v>
      </c>
      <c r="D27" s="1" t="s">
        <v>28</v>
      </c>
      <c r="E27" s="1" t="n">
        <v>172415.52</v>
      </c>
      <c r="F27" s="1" t="n">
        <v>8927</v>
      </c>
      <c r="G27" s="1" t="n">
        <v>0.14</v>
      </c>
      <c r="H27" s="1" t="n">
        <v>22</v>
      </c>
      <c r="I27" s="1" t="n">
        <v>86.2</v>
      </c>
      <c r="J27" s="1" t="n">
        <v>7.04</v>
      </c>
      <c r="K27" s="1" t="n">
        <v>0</v>
      </c>
      <c r="L27" s="1" t="n">
        <v>3.9</v>
      </c>
      <c r="M27" s="1" t="n">
        <v>800451.94</v>
      </c>
      <c r="N27" s="1" t="n">
        <v>111572.29</v>
      </c>
    </row>
    <row r="28" customFormat="false" ht="15" hidden="false" customHeight="true" outlineLevel="0" collapsed="false">
      <c r="A28" s="1" t="s">
        <v>26</v>
      </c>
      <c r="B28" s="3" t="n">
        <v>45717</v>
      </c>
      <c r="C28" s="1" t="s">
        <v>27</v>
      </c>
      <c r="D28" s="1" t="s">
        <v>28</v>
      </c>
      <c r="E28" s="1" t="n">
        <v>55270.52</v>
      </c>
      <c r="F28" s="1" t="n">
        <v>9315</v>
      </c>
      <c r="G28" s="1" t="n">
        <v>0.169</v>
      </c>
      <c r="H28" s="1" t="n">
        <v>23</v>
      </c>
      <c r="I28" s="1" t="n">
        <v>91.9</v>
      </c>
      <c r="J28" s="1" t="n">
        <v>4.94</v>
      </c>
      <c r="K28" s="1" t="n">
        <v>0</v>
      </c>
      <c r="L28" s="1" t="n">
        <v>4</v>
      </c>
      <c r="M28" s="1" t="n">
        <v>783672.82</v>
      </c>
      <c r="N28" s="1" t="n">
        <v>112577.14</v>
      </c>
    </row>
    <row r="29" customFormat="false" ht="15" hidden="false" customHeight="true" outlineLevel="0" collapsed="false">
      <c r="A29" s="1" t="s">
        <v>26</v>
      </c>
      <c r="B29" s="3" t="n">
        <v>45748</v>
      </c>
      <c r="C29" s="1" t="s">
        <v>27</v>
      </c>
      <c r="D29" s="1" t="s">
        <v>28</v>
      </c>
      <c r="E29" s="1" t="n">
        <v>52715.1</v>
      </c>
      <c r="F29" s="1" t="n">
        <v>7223</v>
      </c>
      <c r="G29" s="1" t="n">
        <v>0.122</v>
      </c>
      <c r="H29" s="1" t="n">
        <v>16</v>
      </c>
      <c r="I29" s="1" t="n">
        <v>84.2</v>
      </c>
      <c r="J29" s="1" t="n">
        <v>16.15</v>
      </c>
      <c r="K29" s="1" t="n">
        <v>0</v>
      </c>
      <c r="L29" s="1" t="n">
        <v>3.7</v>
      </c>
      <c r="M29" s="1" t="n">
        <v>701641.97</v>
      </c>
      <c r="N29" s="1" t="n">
        <v>106111.86</v>
      </c>
    </row>
    <row r="30" customFormat="false" ht="15" hidden="false" customHeight="true" outlineLevel="0" collapsed="false">
      <c r="A30" s="1" t="s">
        <v>29</v>
      </c>
      <c r="B30" s="3" t="n">
        <v>45658</v>
      </c>
      <c r="C30" s="1" t="s">
        <v>15</v>
      </c>
      <c r="D30" s="1" t="s">
        <v>16</v>
      </c>
      <c r="E30" s="1" t="n">
        <v>68600.62</v>
      </c>
      <c r="F30" s="1" t="n">
        <v>3988</v>
      </c>
      <c r="G30" s="1" t="n">
        <v>0.124</v>
      </c>
      <c r="H30" s="1" t="n">
        <v>11</v>
      </c>
      <c r="I30" s="1" t="n">
        <v>85</v>
      </c>
      <c r="J30" s="1" t="n">
        <v>0.48</v>
      </c>
      <c r="K30" s="1" t="n">
        <v>0</v>
      </c>
      <c r="L30" s="1" t="n">
        <v>3.6</v>
      </c>
      <c r="M30" s="1" t="n">
        <v>511844.41</v>
      </c>
      <c r="N30" s="1" t="n">
        <v>72774.44</v>
      </c>
    </row>
    <row r="31" customFormat="false" ht="15" hidden="false" customHeight="true" outlineLevel="0" collapsed="false">
      <c r="A31" s="1" t="s">
        <v>29</v>
      </c>
      <c r="B31" s="3" t="n">
        <v>45689</v>
      </c>
      <c r="C31" s="1" t="s">
        <v>15</v>
      </c>
      <c r="D31" s="1" t="s">
        <v>16</v>
      </c>
      <c r="E31" s="1" t="n">
        <v>63176.73</v>
      </c>
      <c r="F31" s="1" t="n">
        <v>2390</v>
      </c>
      <c r="G31" s="1" t="n">
        <v>0.216</v>
      </c>
      <c r="H31" s="1" t="n">
        <v>9</v>
      </c>
      <c r="I31" s="1" t="n">
        <v>87.5</v>
      </c>
      <c r="J31" s="1" t="n">
        <v>0.31</v>
      </c>
      <c r="K31" s="1" t="n">
        <v>0</v>
      </c>
      <c r="L31" s="1" t="n">
        <v>3.1</v>
      </c>
      <c r="M31" s="1" t="n">
        <v>537383.79</v>
      </c>
      <c r="N31" s="1" t="n">
        <v>63773.27</v>
      </c>
    </row>
    <row r="32" customFormat="false" ht="15" hidden="false" customHeight="true" outlineLevel="0" collapsed="false">
      <c r="A32" s="1" t="s">
        <v>29</v>
      </c>
      <c r="B32" s="3" t="n">
        <v>45717</v>
      </c>
      <c r="C32" s="1" t="s">
        <v>15</v>
      </c>
      <c r="D32" s="1" t="s">
        <v>16</v>
      </c>
      <c r="E32" s="1" t="n">
        <v>44970.08</v>
      </c>
      <c r="F32" s="1" t="n">
        <v>2471</v>
      </c>
      <c r="G32" s="1" t="n">
        <v>0.136</v>
      </c>
      <c r="H32" s="1" t="n">
        <v>11</v>
      </c>
      <c r="I32" s="1" t="n">
        <v>87.6</v>
      </c>
      <c r="J32" s="1" t="n">
        <v>3.01</v>
      </c>
      <c r="K32" s="1" t="n">
        <v>1</v>
      </c>
      <c r="L32" s="1" t="n">
        <v>3.7</v>
      </c>
      <c r="M32" s="1" t="n">
        <v>500173.02</v>
      </c>
      <c r="N32" s="1" t="n">
        <v>70982.05</v>
      </c>
    </row>
    <row r="33" customFormat="false" ht="15" hidden="false" customHeight="true" outlineLevel="0" collapsed="false">
      <c r="A33" s="1" t="s">
        <v>29</v>
      </c>
      <c r="B33" s="3" t="n">
        <v>45748</v>
      </c>
      <c r="C33" s="1" t="s">
        <v>15</v>
      </c>
      <c r="D33" s="1" t="s">
        <v>16</v>
      </c>
      <c r="E33" s="1" t="n">
        <v>69816.35</v>
      </c>
      <c r="F33" s="1" t="n">
        <v>971</v>
      </c>
      <c r="G33" s="1" t="n">
        <v>0.168</v>
      </c>
      <c r="H33" s="1" t="n">
        <v>5</v>
      </c>
      <c r="I33" s="1" t="n">
        <v>89.9</v>
      </c>
      <c r="J33" s="1" t="n">
        <v>12.15</v>
      </c>
      <c r="K33" s="1" t="n">
        <v>0</v>
      </c>
      <c r="L33" s="1" t="n">
        <v>3.6</v>
      </c>
      <c r="M33" s="1" t="n">
        <v>427917.38</v>
      </c>
      <c r="N33" s="1" t="n">
        <v>81824.31</v>
      </c>
    </row>
    <row r="34" customFormat="false" ht="15" hidden="false" customHeight="true" outlineLevel="0" collapsed="false">
      <c r="A34" s="1" t="s">
        <v>30</v>
      </c>
      <c r="B34" s="3" t="n">
        <v>45658</v>
      </c>
      <c r="C34" s="1" t="s">
        <v>20</v>
      </c>
      <c r="D34" s="1" t="s">
        <v>16</v>
      </c>
      <c r="E34" s="1" t="n">
        <v>54597.83</v>
      </c>
      <c r="F34" s="1" t="n">
        <v>9429</v>
      </c>
      <c r="G34" s="1" t="n">
        <v>0.188</v>
      </c>
      <c r="H34" s="1" t="n">
        <v>21</v>
      </c>
      <c r="I34" s="1" t="n">
        <v>83.3</v>
      </c>
      <c r="J34" s="1" t="n">
        <v>11.71</v>
      </c>
      <c r="K34" s="1" t="n">
        <v>0</v>
      </c>
      <c r="L34" s="1" t="n">
        <v>4.2</v>
      </c>
      <c r="M34" s="1" t="n">
        <v>641865.03</v>
      </c>
      <c r="N34" s="1" t="n">
        <v>81342.58</v>
      </c>
    </row>
    <row r="35" customFormat="false" ht="15" hidden="false" customHeight="true" outlineLevel="0" collapsed="false">
      <c r="A35" s="1" t="s">
        <v>30</v>
      </c>
      <c r="B35" s="3" t="n">
        <v>45689</v>
      </c>
      <c r="C35" s="1" t="s">
        <v>20</v>
      </c>
      <c r="D35" s="1" t="s">
        <v>16</v>
      </c>
      <c r="E35" s="1" t="n">
        <v>73771.91</v>
      </c>
      <c r="F35" s="1" t="n">
        <v>11695</v>
      </c>
      <c r="G35" s="1" t="n">
        <v>0.07</v>
      </c>
      <c r="H35" s="1" t="n">
        <v>25</v>
      </c>
      <c r="I35" s="1" t="n">
        <v>84.7</v>
      </c>
      <c r="J35" s="1" t="n">
        <v>0.62</v>
      </c>
      <c r="K35" s="1" t="n">
        <v>0</v>
      </c>
      <c r="M35" s="1" t="n">
        <v>799477.76</v>
      </c>
      <c r="N35" s="1" t="n">
        <v>164974.41</v>
      </c>
    </row>
    <row r="36" customFormat="false" ht="15" hidden="false" customHeight="true" outlineLevel="0" collapsed="false">
      <c r="A36" s="1" t="s">
        <v>30</v>
      </c>
      <c r="B36" s="3" t="n">
        <v>45717</v>
      </c>
      <c r="C36" s="1" t="s">
        <v>20</v>
      </c>
      <c r="D36" s="1" t="s">
        <v>16</v>
      </c>
      <c r="E36" s="1" t="n">
        <v>74413.88</v>
      </c>
      <c r="F36" s="1" t="n">
        <v>9449</v>
      </c>
      <c r="G36" s="1" t="n">
        <v>0.039</v>
      </c>
      <c r="H36" s="1" t="n">
        <v>23</v>
      </c>
      <c r="I36" s="1" t="n">
        <v>92.1</v>
      </c>
      <c r="J36" s="1" t="n">
        <v>2.12</v>
      </c>
      <c r="K36" s="1" t="n">
        <v>0</v>
      </c>
      <c r="L36" s="1" t="n">
        <v>3.5</v>
      </c>
      <c r="M36" s="1" t="n">
        <v>798952.17</v>
      </c>
      <c r="N36" s="1" t="n">
        <v>161499.04</v>
      </c>
    </row>
    <row r="37" customFormat="false" ht="15" hidden="false" customHeight="true" outlineLevel="0" collapsed="false">
      <c r="A37" s="1" t="s">
        <v>30</v>
      </c>
      <c r="B37" s="3" t="n">
        <v>45748</v>
      </c>
      <c r="C37" s="1" t="s">
        <v>20</v>
      </c>
      <c r="D37" s="1" t="s">
        <v>16</v>
      </c>
      <c r="E37" s="1" t="n">
        <v>52483.77</v>
      </c>
      <c r="F37" s="1" t="n">
        <v>10453</v>
      </c>
      <c r="G37" s="1" t="n">
        <v>0.247</v>
      </c>
      <c r="H37" s="1" t="n">
        <v>25</v>
      </c>
      <c r="I37" s="1" t="n">
        <v>99</v>
      </c>
      <c r="J37" s="1" t="n">
        <v>6.31</v>
      </c>
      <c r="K37" s="1" t="n">
        <v>0</v>
      </c>
      <c r="L37" s="1" t="n">
        <v>3.6</v>
      </c>
      <c r="M37" s="1" t="n">
        <v>800979.78</v>
      </c>
      <c r="N37" s="1" t="n">
        <v>149242.27</v>
      </c>
    </row>
    <row r="38" customFormat="false" ht="15" hidden="false" customHeight="true" outlineLevel="0" collapsed="false">
      <c r="A38" s="1" t="s">
        <v>31</v>
      </c>
      <c r="B38" s="3" t="n">
        <v>45658</v>
      </c>
      <c r="C38" s="1" t="s">
        <v>20</v>
      </c>
      <c r="D38" s="1" t="s">
        <v>28</v>
      </c>
      <c r="E38" s="1" t="n">
        <v>75269.87</v>
      </c>
      <c r="F38" s="1" t="n">
        <v>8838</v>
      </c>
      <c r="G38" s="1" t="n">
        <v>0.092</v>
      </c>
      <c r="H38" s="1" t="n">
        <v>21</v>
      </c>
      <c r="I38" s="1" t="n">
        <v>83.1</v>
      </c>
      <c r="J38" s="1" t="n">
        <v>9.56</v>
      </c>
      <c r="K38" s="1" t="n">
        <v>1</v>
      </c>
      <c r="L38" s="1" t="n">
        <v>4.2</v>
      </c>
      <c r="M38" s="1" t="n">
        <v>820593.93</v>
      </c>
      <c r="N38" s="1" t="n">
        <v>115860.06</v>
      </c>
    </row>
    <row r="39" customFormat="false" ht="15" hidden="false" customHeight="true" outlineLevel="0" collapsed="false">
      <c r="A39" s="1" t="s">
        <v>31</v>
      </c>
      <c r="B39" s="3" t="n">
        <v>45689</v>
      </c>
      <c r="C39" s="1" t="s">
        <v>20</v>
      </c>
      <c r="D39" s="1" t="s">
        <v>28</v>
      </c>
      <c r="E39" s="1" t="n">
        <v>61245.41</v>
      </c>
      <c r="F39" s="1" t="n">
        <v>8156</v>
      </c>
      <c r="G39" s="1" t="n">
        <v>0.156</v>
      </c>
      <c r="H39" s="1" t="n">
        <v>19</v>
      </c>
      <c r="I39" s="1" t="n">
        <v>92.9</v>
      </c>
      <c r="J39" s="1" t="n">
        <v>9.05</v>
      </c>
      <c r="K39" s="1" t="n">
        <v>0</v>
      </c>
      <c r="L39" s="1" t="n">
        <v>3.8</v>
      </c>
      <c r="M39" s="1" t="n">
        <v>718330.53</v>
      </c>
      <c r="N39" s="1" t="n">
        <v>93247.9</v>
      </c>
    </row>
    <row r="40" customFormat="false" ht="15" hidden="false" customHeight="true" outlineLevel="0" collapsed="false">
      <c r="A40" s="1" t="s">
        <v>31</v>
      </c>
      <c r="B40" s="3" t="n">
        <v>45717</v>
      </c>
      <c r="C40" s="1" t="s">
        <v>20</v>
      </c>
      <c r="D40" s="1" t="s">
        <v>28</v>
      </c>
      <c r="E40" s="1" t="n">
        <v>93381.26</v>
      </c>
      <c r="F40" s="1" t="n">
        <v>7562</v>
      </c>
      <c r="G40" s="1" t="n">
        <v>0.198</v>
      </c>
      <c r="H40" s="1" t="n">
        <v>19</v>
      </c>
      <c r="I40" s="1" t="n">
        <v>82.9</v>
      </c>
      <c r="J40" s="1" t="n">
        <v>5.05</v>
      </c>
      <c r="K40" s="1" t="n">
        <v>0</v>
      </c>
      <c r="L40" s="1" t="n">
        <v>4</v>
      </c>
      <c r="M40" s="1" t="n">
        <v>736633.4</v>
      </c>
      <c r="N40" s="1" t="n">
        <v>115654.66</v>
      </c>
    </row>
    <row r="41" customFormat="false" ht="15" hidden="false" customHeight="true" outlineLevel="0" collapsed="false">
      <c r="A41" s="1" t="s">
        <v>31</v>
      </c>
      <c r="B41" s="3" t="n">
        <v>45748</v>
      </c>
      <c r="C41" s="1" t="s">
        <v>20</v>
      </c>
      <c r="D41" s="1" t="s">
        <v>28</v>
      </c>
      <c r="E41" s="1" t="n">
        <v>65012.19</v>
      </c>
      <c r="F41" s="1" t="n">
        <v>9598</v>
      </c>
      <c r="G41" s="1" t="n">
        <v>0.085</v>
      </c>
      <c r="H41" s="1" t="n">
        <v>24</v>
      </c>
      <c r="I41" s="1" t="n">
        <v>98.3</v>
      </c>
      <c r="J41" s="1" t="n">
        <v>0.89</v>
      </c>
      <c r="K41" s="1" t="n">
        <v>0</v>
      </c>
      <c r="L41" s="1" t="n">
        <v>3.8</v>
      </c>
      <c r="M41" s="1" t="n">
        <v>828623.85</v>
      </c>
      <c r="N41" s="1" t="n">
        <v>167320.52</v>
      </c>
    </row>
    <row r="42" customFormat="false" ht="15" hidden="false" customHeight="true" outlineLevel="0" collapsed="false">
      <c r="A42" s="1" t="s">
        <v>32</v>
      </c>
      <c r="B42" s="3" t="n">
        <v>45658</v>
      </c>
      <c r="C42" s="1" t="s">
        <v>15</v>
      </c>
      <c r="D42" s="1" t="s">
        <v>28</v>
      </c>
      <c r="E42" s="1" t="n">
        <v>40462.94</v>
      </c>
      <c r="F42" s="1" t="n">
        <v>3660</v>
      </c>
      <c r="G42" s="1" t="n">
        <v>0.218</v>
      </c>
      <c r="H42" s="1" t="n">
        <v>11</v>
      </c>
      <c r="I42" s="1" t="n">
        <v>95.2</v>
      </c>
      <c r="J42" s="1" t="n">
        <v>5.57</v>
      </c>
      <c r="K42" s="1" t="n">
        <v>0</v>
      </c>
      <c r="L42" s="1" t="n">
        <v>4.4</v>
      </c>
      <c r="M42" s="1" t="n">
        <v>592195.85</v>
      </c>
      <c r="N42" s="1" t="n">
        <v>92291.56</v>
      </c>
    </row>
    <row r="43" customFormat="false" ht="15" hidden="false" customHeight="true" outlineLevel="0" collapsed="false">
      <c r="A43" s="1" t="s">
        <v>32</v>
      </c>
      <c r="B43" s="3" t="n">
        <v>45689</v>
      </c>
      <c r="C43" s="1" t="s">
        <v>15</v>
      </c>
      <c r="D43" s="1" t="s">
        <v>28</v>
      </c>
      <c r="E43" s="1" t="n">
        <v>46123.88</v>
      </c>
      <c r="F43" s="1" t="n">
        <v>3227</v>
      </c>
      <c r="G43" s="1" t="n">
        <v>0.143</v>
      </c>
      <c r="H43" s="1" t="n">
        <v>10</v>
      </c>
      <c r="I43" s="1" t="n">
        <v>75.4</v>
      </c>
      <c r="J43" s="1" t="n">
        <v>1.06</v>
      </c>
      <c r="K43" s="1" t="n">
        <v>0</v>
      </c>
      <c r="L43" s="1" t="n">
        <v>4.4</v>
      </c>
      <c r="M43" s="1" t="n">
        <v>532644.46</v>
      </c>
      <c r="N43" s="1" t="n">
        <v>60681.32</v>
      </c>
    </row>
    <row r="44" customFormat="false" ht="15" hidden="false" customHeight="true" outlineLevel="0" collapsed="false">
      <c r="A44" s="1" t="s">
        <v>32</v>
      </c>
      <c r="B44" s="3" t="n">
        <v>45717</v>
      </c>
      <c r="C44" s="1" t="s">
        <v>15</v>
      </c>
      <c r="D44" s="1" t="s">
        <v>28</v>
      </c>
      <c r="E44" s="1" t="n">
        <v>68077.54</v>
      </c>
      <c r="F44" s="1" t="n">
        <v>3360</v>
      </c>
      <c r="G44" s="1" t="n">
        <v>0.128</v>
      </c>
      <c r="H44" s="1" t="n">
        <v>14</v>
      </c>
      <c r="I44" s="1" t="n">
        <v>88.2</v>
      </c>
      <c r="J44" s="1" t="n">
        <v>1.24</v>
      </c>
      <c r="K44" s="1" t="n">
        <v>1</v>
      </c>
      <c r="L44" s="1" t="n">
        <v>4</v>
      </c>
      <c r="M44" s="1" t="n">
        <v>657429.18</v>
      </c>
      <c r="N44" s="1" t="n">
        <v>88919.74</v>
      </c>
    </row>
    <row r="45" customFormat="false" ht="15" hidden="false" customHeight="true" outlineLevel="0" collapsed="false">
      <c r="A45" s="1" t="s">
        <v>32</v>
      </c>
      <c r="B45" s="3" t="n">
        <v>45748</v>
      </c>
      <c r="C45" s="1" t="s">
        <v>15</v>
      </c>
      <c r="D45" s="1" t="s">
        <v>28</v>
      </c>
      <c r="E45" s="1" t="n">
        <v>64882.14</v>
      </c>
      <c r="F45" s="1" t="n">
        <v>3642</v>
      </c>
      <c r="G45" s="1" t="n">
        <v>0.019</v>
      </c>
      <c r="H45" s="1" t="n">
        <v>13</v>
      </c>
      <c r="I45" s="1" t="n">
        <v>87.8</v>
      </c>
      <c r="J45" s="1" t="n">
        <v>4.52</v>
      </c>
      <c r="K45" s="1" t="n">
        <v>0</v>
      </c>
      <c r="L45" s="1" t="n">
        <v>4.2</v>
      </c>
      <c r="M45" s="1" t="n">
        <v>605178</v>
      </c>
      <c r="N45" s="1" t="n">
        <v>106958.74</v>
      </c>
    </row>
    <row r="46" customFormat="false" ht="15" hidden="false" customHeight="true" outlineLevel="0" collapsed="false">
      <c r="A46" s="1" t="s">
        <v>33</v>
      </c>
      <c r="B46" s="3" t="n">
        <v>45658</v>
      </c>
      <c r="C46" s="1" t="s">
        <v>27</v>
      </c>
      <c r="D46" s="1" t="s">
        <v>16</v>
      </c>
      <c r="E46" s="1" t="n">
        <v>138855.51</v>
      </c>
      <c r="F46" s="1" t="n">
        <v>5145</v>
      </c>
      <c r="G46" s="1" t="n">
        <v>0.06</v>
      </c>
      <c r="H46" s="1" t="n">
        <v>17</v>
      </c>
      <c r="I46" s="1" t="n">
        <v>88.2</v>
      </c>
      <c r="J46" s="1" t="n">
        <v>9.58</v>
      </c>
      <c r="K46" s="1" t="n">
        <v>0</v>
      </c>
      <c r="L46" s="1" t="n">
        <v>3.2</v>
      </c>
      <c r="M46" s="1" t="n">
        <v>595467.6</v>
      </c>
      <c r="N46" s="1" t="n">
        <v>104276.46</v>
      </c>
    </row>
    <row r="47" customFormat="false" ht="15" hidden="false" customHeight="true" outlineLevel="0" collapsed="false">
      <c r="A47" s="1" t="s">
        <v>33</v>
      </c>
      <c r="B47" s="3" t="n">
        <v>45689</v>
      </c>
      <c r="C47" s="1" t="s">
        <v>27</v>
      </c>
      <c r="D47" s="1" t="s">
        <v>16</v>
      </c>
      <c r="E47" s="1" t="n">
        <v>63630.21</v>
      </c>
      <c r="F47" s="1" t="n">
        <v>4460</v>
      </c>
      <c r="G47" s="1" t="n">
        <v>0.235</v>
      </c>
      <c r="H47" s="1" t="n">
        <v>14</v>
      </c>
      <c r="I47" s="1" t="n">
        <v>98.6</v>
      </c>
      <c r="J47" s="1" t="n">
        <v>5.52</v>
      </c>
      <c r="K47" s="1" t="n">
        <v>0</v>
      </c>
      <c r="L47" s="1" t="n">
        <v>3.5</v>
      </c>
      <c r="M47" s="1" t="n">
        <v>599603.4</v>
      </c>
      <c r="N47" s="1" t="n">
        <v>112685.12</v>
      </c>
    </row>
    <row r="48" customFormat="false" ht="15" hidden="false" customHeight="true" outlineLevel="0" collapsed="false">
      <c r="A48" s="1" t="s">
        <v>33</v>
      </c>
      <c r="B48" s="3" t="n">
        <v>45717</v>
      </c>
      <c r="C48" s="1" t="s">
        <v>27</v>
      </c>
      <c r="D48" s="1" t="s">
        <v>16</v>
      </c>
      <c r="E48" s="1" t="n">
        <v>50043.65</v>
      </c>
      <c r="F48" s="1" t="n">
        <v>3804</v>
      </c>
      <c r="G48" s="1" t="n">
        <v>0.113</v>
      </c>
      <c r="H48" s="1" t="n">
        <v>11</v>
      </c>
      <c r="I48" s="1" t="n">
        <v>90.9</v>
      </c>
      <c r="J48" s="1" t="n">
        <v>2.7</v>
      </c>
      <c r="K48" s="1" t="n">
        <v>1</v>
      </c>
      <c r="L48" s="1" t="n">
        <v>3.2</v>
      </c>
      <c r="M48" s="1" t="n">
        <v>614800.09</v>
      </c>
      <c r="N48" s="1" t="n">
        <v>100044.2</v>
      </c>
    </row>
    <row r="49" customFormat="false" ht="15" hidden="false" customHeight="true" outlineLevel="0" collapsed="false">
      <c r="A49" s="1" t="s">
        <v>33</v>
      </c>
      <c r="B49" s="3" t="n">
        <v>45748</v>
      </c>
      <c r="C49" s="1" t="s">
        <v>27</v>
      </c>
      <c r="D49" s="1" t="s">
        <v>16</v>
      </c>
      <c r="E49" s="1" t="n">
        <v>42093.84</v>
      </c>
      <c r="F49" s="1" t="n">
        <v>4074</v>
      </c>
      <c r="G49" s="1" t="n">
        <v>0.155</v>
      </c>
      <c r="H49" s="1" t="n">
        <v>15</v>
      </c>
      <c r="I49" s="1" t="n">
        <v>88</v>
      </c>
      <c r="J49" s="1" t="n">
        <v>9.64</v>
      </c>
      <c r="K49" s="1" t="n">
        <v>0</v>
      </c>
      <c r="L49" s="1" t="n">
        <v>3.3</v>
      </c>
      <c r="M49" s="1" t="n">
        <v>585365.73</v>
      </c>
      <c r="N49" s="1" t="n">
        <v>81011.52</v>
      </c>
    </row>
    <row r="50" customFormat="false" ht="15" hidden="false" customHeight="true" outlineLevel="0" collapsed="false">
      <c r="A50" s="1" t="s">
        <v>34</v>
      </c>
      <c r="B50" s="3" t="n">
        <v>45658</v>
      </c>
      <c r="C50" s="1" t="s">
        <v>20</v>
      </c>
      <c r="D50" s="1" t="s">
        <v>28</v>
      </c>
      <c r="E50" s="1" t="n">
        <v>46624.05</v>
      </c>
      <c r="F50" s="1" t="n">
        <v>5104</v>
      </c>
      <c r="G50" s="1" t="n">
        <v>0.109</v>
      </c>
      <c r="H50" s="1" t="n">
        <v>11</v>
      </c>
      <c r="I50" s="1" t="n">
        <v>97.3</v>
      </c>
      <c r="J50" s="1" t="n">
        <v>3.49</v>
      </c>
      <c r="K50" s="1" t="n">
        <v>1</v>
      </c>
      <c r="L50" s="1" t="n">
        <v>4.7</v>
      </c>
      <c r="M50" s="1" t="n">
        <v>622811.74</v>
      </c>
      <c r="N50" s="1" t="n">
        <v>109978.35</v>
      </c>
    </row>
    <row r="51" customFormat="false" ht="15" hidden="false" customHeight="true" outlineLevel="0" collapsed="false">
      <c r="A51" s="1" t="s">
        <v>34</v>
      </c>
      <c r="B51" s="3" t="n">
        <v>45689</v>
      </c>
      <c r="C51" s="1" t="s">
        <v>20</v>
      </c>
      <c r="D51" s="1" t="s">
        <v>28</v>
      </c>
      <c r="E51" s="1" t="n">
        <v>49710.29</v>
      </c>
      <c r="F51" s="1" t="n">
        <v>5559</v>
      </c>
      <c r="G51" s="1" t="n">
        <v>0.218</v>
      </c>
      <c r="H51" s="1" t="n">
        <v>14</v>
      </c>
      <c r="I51" s="1" t="n">
        <v>71</v>
      </c>
      <c r="J51" s="1" t="n">
        <v>9.11</v>
      </c>
      <c r="K51" s="1" t="n">
        <v>0</v>
      </c>
      <c r="L51" s="1" t="n">
        <v>4.6</v>
      </c>
      <c r="M51" s="1" t="n">
        <v>603297.57</v>
      </c>
      <c r="N51" s="1" t="n">
        <v>60592.26</v>
      </c>
    </row>
    <row r="52" customFormat="false" ht="15" hidden="false" customHeight="true" outlineLevel="0" collapsed="false">
      <c r="A52" s="1" t="s">
        <v>34</v>
      </c>
      <c r="B52" s="3" t="n">
        <v>45717</v>
      </c>
      <c r="C52" s="1" t="s">
        <v>20</v>
      </c>
      <c r="D52" s="1" t="s">
        <v>28</v>
      </c>
      <c r="E52" s="1" t="n">
        <v>48287.85</v>
      </c>
      <c r="F52" s="1" t="n">
        <v>5150</v>
      </c>
      <c r="G52" s="1" t="n">
        <v>0.008</v>
      </c>
      <c r="H52" s="1" t="n">
        <v>12</v>
      </c>
      <c r="I52" s="1" t="n">
        <v>80.4</v>
      </c>
      <c r="J52" s="1" t="n">
        <v>7.4</v>
      </c>
      <c r="K52" s="1" t="n">
        <v>0</v>
      </c>
      <c r="L52" s="1" t="n">
        <v>4.5</v>
      </c>
      <c r="M52" s="1" t="n">
        <v>625672.86</v>
      </c>
      <c r="N52" s="1" t="n">
        <v>118020.12</v>
      </c>
    </row>
    <row r="53" customFormat="false" ht="15" hidden="false" customHeight="true" outlineLevel="0" collapsed="false">
      <c r="A53" s="1" t="s">
        <v>34</v>
      </c>
      <c r="B53" s="3" t="n">
        <v>45748</v>
      </c>
      <c r="C53" s="1" t="s">
        <v>20</v>
      </c>
      <c r="D53" s="1" t="s">
        <v>28</v>
      </c>
      <c r="E53" s="1" t="n">
        <v>65312.49</v>
      </c>
      <c r="F53" s="1" t="n">
        <v>7189</v>
      </c>
      <c r="G53" s="1" t="n">
        <v>0.05</v>
      </c>
      <c r="H53" s="1" t="n">
        <v>19</v>
      </c>
      <c r="I53" s="1" t="n">
        <v>93.7</v>
      </c>
      <c r="J53" s="1" t="n">
        <v>7.16</v>
      </c>
      <c r="K53" s="1" t="n">
        <v>0</v>
      </c>
      <c r="L53" s="1" t="n">
        <v>4.6</v>
      </c>
      <c r="M53" s="1" t="n">
        <v>773815.14</v>
      </c>
      <c r="N53" s="1" t="n">
        <v>133948.39</v>
      </c>
    </row>
    <row r="54" customFormat="false" ht="15" hidden="false" customHeight="true" outlineLevel="0" collapsed="false">
      <c r="A54" s="1" t="s">
        <v>35</v>
      </c>
      <c r="B54" s="3" t="n">
        <v>45658</v>
      </c>
      <c r="C54" s="1" t="s">
        <v>27</v>
      </c>
      <c r="D54" s="1" t="s">
        <v>18</v>
      </c>
      <c r="E54" s="1" t="n">
        <v>53015.46</v>
      </c>
      <c r="F54" s="1" t="n">
        <v>3279</v>
      </c>
      <c r="G54" s="1" t="n">
        <v>0.087</v>
      </c>
      <c r="H54" s="1" t="n">
        <v>9</v>
      </c>
      <c r="I54" s="1" t="n">
        <v>84.3</v>
      </c>
      <c r="J54" s="1" t="n">
        <v>22.02</v>
      </c>
      <c r="K54" s="1" t="n">
        <v>0</v>
      </c>
      <c r="L54" s="1" t="n">
        <v>3.9</v>
      </c>
      <c r="M54" s="1" t="n">
        <v>463534.25</v>
      </c>
      <c r="N54" s="1" t="n">
        <v>81834.54</v>
      </c>
    </row>
    <row r="55" customFormat="false" ht="15" hidden="false" customHeight="true" outlineLevel="0" collapsed="false">
      <c r="A55" s="1" t="s">
        <v>35</v>
      </c>
      <c r="B55" s="3" t="n">
        <v>45689</v>
      </c>
      <c r="C55" s="1" t="s">
        <v>27</v>
      </c>
      <c r="D55" s="1" t="s">
        <v>18</v>
      </c>
      <c r="E55" s="1" t="n">
        <v>99874.01</v>
      </c>
      <c r="F55" s="1" t="n">
        <v>5887</v>
      </c>
      <c r="G55" s="1" t="n">
        <v>0.262</v>
      </c>
      <c r="H55" s="1" t="n">
        <v>14</v>
      </c>
      <c r="I55" s="1" t="n">
        <v>88.7</v>
      </c>
      <c r="J55" s="1" t="n">
        <v>6.18</v>
      </c>
      <c r="K55" s="1" t="n">
        <v>0</v>
      </c>
      <c r="L55" s="1" t="n">
        <v>4.7</v>
      </c>
      <c r="M55" s="1" t="n">
        <v>746677.75</v>
      </c>
      <c r="N55" s="1" t="n">
        <v>122437.84</v>
      </c>
    </row>
    <row r="56" customFormat="false" ht="15" hidden="false" customHeight="true" outlineLevel="0" collapsed="false">
      <c r="A56" s="1" t="s">
        <v>35</v>
      </c>
      <c r="B56" s="3" t="n">
        <v>45717</v>
      </c>
      <c r="C56" s="1" t="s">
        <v>27</v>
      </c>
      <c r="D56" s="1" t="s">
        <v>18</v>
      </c>
      <c r="E56" s="1" t="n">
        <v>81195.5</v>
      </c>
      <c r="F56" s="1" t="n">
        <v>5516</v>
      </c>
      <c r="G56" s="1" t="n">
        <v>0.106</v>
      </c>
      <c r="H56" s="1" t="n">
        <v>14</v>
      </c>
      <c r="I56" s="1" t="n">
        <v>88</v>
      </c>
      <c r="J56" s="1" t="n">
        <v>1.76</v>
      </c>
      <c r="K56" s="1" t="n">
        <v>0</v>
      </c>
      <c r="L56" s="1" t="n">
        <v>4.3</v>
      </c>
      <c r="M56" s="1" t="n">
        <v>720852.5</v>
      </c>
      <c r="N56" s="1" t="n">
        <v>98565.62</v>
      </c>
    </row>
    <row r="57" customFormat="false" ht="15" hidden="false" customHeight="true" outlineLevel="0" collapsed="false">
      <c r="A57" s="1" t="s">
        <v>35</v>
      </c>
      <c r="B57" s="3" t="n">
        <v>45748</v>
      </c>
      <c r="C57" s="1" t="s">
        <v>27</v>
      </c>
      <c r="D57" s="1" t="s">
        <v>18</v>
      </c>
      <c r="E57" s="1" t="n">
        <v>27808.6</v>
      </c>
      <c r="F57" s="1" t="n">
        <v>2863</v>
      </c>
      <c r="G57" s="1" t="n">
        <v>0.08</v>
      </c>
      <c r="H57" s="1" t="n">
        <v>13</v>
      </c>
      <c r="I57" s="1" t="n">
        <v>89.3</v>
      </c>
      <c r="J57" s="1" t="n">
        <v>0.47</v>
      </c>
      <c r="K57" s="1" t="n">
        <v>0</v>
      </c>
      <c r="L57" s="1" t="n">
        <v>4.1</v>
      </c>
      <c r="M57" s="1" t="n">
        <v>487464.91</v>
      </c>
      <c r="N57" s="1" t="n">
        <v>64562.26</v>
      </c>
    </row>
    <row r="58" customFormat="false" ht="15" hidden="false" customHeight="true" outlineLevel="0" collapsed="false">
      <c r="A58" s="1" t="s">
        <v>36</v>
      </c>
      <c r="B58" s="3" t="n">
        <v>45658</v>
      </c>
      <c r="C58" s="1" t="s">
        <v>15</v>
      </c>
      <c r="D58" s="1" t="s">
        <v>21</v>
      </c>
      <c r="E58" s="1" t="n">
        <v>19365.06</v>
      </c>
      <c r="F58" s="1" t="n">
        <v>2378</v>
      </c>
      <c r="G58" s="1" t="n">
        <v>0</v>
      </c>
      <c r="H58" s="1" t="n">
        <v>12</v>
      </c>
      <c r="I58" s="1" t="n">
        <v>94.8</v>
      </c>
      <c r="J58" s="1" t="n">
        <v>0.2</v>
      </c>
      <c r="K58" s="1" t="n">
        <v>0</v>
      </c>
      <c r="L58" s="1" t="n">
        <v>3.5</v>
      </c>
      <c r="M58" s="1" t="n">
        <v>518049.26</v>
      </c>
      <c r="N58" s="1" t="n">
        <v>108592.49</v>
      </c>
    </row>
    <row r="59" customFormat="false" ht="15" hidden="false" customHeight="true" outlineLevel="0" collapsed="false">
      <c r="A59" s="1" t="s">
        <v>36</v>
      </c>
      <c r="B59" s="3" t="n">
        <v>45689</v>
      </c>
      <c r="C59" s="1" t="s">
        <v>15</v>
      </c>
      <c r="D59" s="1" t="s">
        <v>21</v>
      </c>
      <c r="E59" s="1" t="n">
        <v>59405.68</v>
      </c>
      <c r="F59" s="1" t="n">
        <v>2515</v>
      </c>
      <c r="G59" s="1" t="n">
        <v>0.039</v>
      </c>
      <c r="H59" s="1" t="n">
        <v>12</v>
      </c>
      <c r="I59" s="1" t="n">
        <v>76</v>
      </c>
      <c r="J59" s="1" t="n">
        <v>5.11</v>
      </c>
      <c r="K59" s="1" t="n">
        <v>0</v>
      </c>
      <c r="L59" s="1" t="n">
        <v>3.7</v>
      </c>
      <c r="M59" s="1" t="n">
        <v>500298.48</v>
      </c>
      <c r="N59" s="1" t="n">
        <v>73461.32</v>
      </c>
    </row>
    <row r="60" customFormat="false" ht="15" hidden="false" customHeight="true" outlineLevel="0" collapsed="false">
      <c r="A60" s="1" t="s">
        <v>36</v>
      </c>
      <c r="B60" s="3" t="n">
        <v>45717</v>
      </c>
      <c r="C60" s="1" t="s">
        <v>15</v>
      </c>
      <c r="D60" s="1" t="s">
        <v>21</v>
      </c>
      <c r="E60" s="1" t="n">
        <v>118910.48</v>
      </c>
      <c r="F60" s="1" t="n">
        <v>4022</v>
      </c>
      <c r="G60" s="1" t="n">
        <v>0.137</v>
      </c>
      <c r="H60" s="1" t="n">
        <v>11</v>
      </c>
      <c r="I60" s="1" t="n">
        <v>87.1</v>
      </c>
      <c r="J60" s="1" t="n">
        <v>0.2</v>
      </c>
      <c r="K60" s="1" t="n">
        <v>0</v>
      </c>
      <c r="L60" s="1" t="n">
        <v>3.1</v>
      </c>
      <c r="M60" s="1" t="n">
        <v>617291.15</v>
      </c>
      <c r="N60" s="1" t="n">
        <v>117782</v>
      </c>
    </row>
    <row r="61" customFormat="false" ht="15" hidden="false" customHeight="true" outlineLevel="0" collapsed="false">
      <c r="A61" s="1" t="s">
        <v>36</v>
      </c>
      <c r="B61" s="3" t="n">
        <v>45748</v>
      </c>
      <c r="C61" s="1" t="s">
        <v>15</v>
      </c>
      <c r="D61" s="1" t="s">
        <v>21</v>
      </c>
      <c r="E61" s="1" t="n">
        <v>52952.12</v>
      </c>
      <c r="F61" s="1" t="n">
        <v>4377</v>
      </c>
      <c r="G61" s="1" t="n">
        <v>0.092</v>
      </c>
      <c r="H61" s="1" t="n">
        <v>14</v>
      </c>
      <c r="I61" s="1" t="n">
        <v>88.6</v>
      </c>
      <c r="J61" s="1" t="n">
        <v>13.59</v>
      </c>
      <c r="K61" s="1" t="n">
        <v>0</v>
      </c>
      <c r="L61" s="1" t="n">
        <v>3.1</v>
      </c>
      <c r="M61" s="1" t="n">
        <v>553756.43</v>
      </c>
      <c r="N61" s="1" t="n">
        <v>86166.77</v>
      </c>
    </row>
    <row r="62" customFormat="false" ht="15" hidden="false" customHeight="true" outlineLevel="0" collapsed="false">
      <c r="A62" s="1" t="s">
        <v>37</v>
      </c>
      <c r="B62" s="3" t="n">
        <v>45658</v>
      </c>
      <c r="C62" s="1" t="s">
        <v>24</v>
      </c>
      <c r="D62" s="1" t="s">
        <v>18</v>
      </c>
      <c r="E62" s="1" t="n">
        <v>74907.98</v>
      </c>
      <c r="F62" s="1" t="n">
        <v>5306</v>
      </c>
      <c r="G62" s="1" t="n">
        <v>0.062</v>
      </c>
      <c r="H62" s="1" t="n">
        <v>16</v>
      </c>
      <c r="I62" s="1" t="n">
        <v>95.6</v>
      </c>
      <c r="J62" s="1" t="n">
        <v>1.02</v>
      </c>
      <c r="K62" s="1" t="n">
        <v>0</v>
      </c>
      <c r="L62" s="1" t="n">
        <v>3.7</v>
      </c>
      <c r="M62" s="1" t="n">
        <v>749559.71</v>
      </c>
      <c r="N62" s="1" t="n">
        <v>144522.53</v>
      </c>
    </row>
    <row r="63" customFormat="false" ht="15" hidden="false" customHeight="true" outlineLevel="0" collapsed="false">
      <c r="A63" s="1" t="s">
        <v>37</v>
      </c>
      <c r="B63" s="3" t="n">
        <v>45689</v>
      </c>
      <c r="C63" s="1" t="s">
        <v>24</v>
      </c>
      <c r="D63" s="1" t="s">
        <v>18</v>
      </c>
      <c r="E63" s="1" t="n">
        <v>37284.66</v>
      </c>
      <c r="F63" s="1" t="n">
        <v>3928</v>
      </c>
      <c r="G63" s="1" t="n">
        <v>0.074</v>
      </c>
      <c r="H63" s="1" t="n">
        <v>12</v>
      </c>
      <c r="I63" s="1" t="n">
        <v>86.5</v>
      </c>
      <c r="J63" s="1" t="n">
        <v>1.64</v>
      </c>
      <c r="K63" s="1" t="n">
        <v>0</v>
      </c>
      <c r="L63" s="1" t="n">
        <v>3.8</v>
      </c>
      <c r="M63" s="1" t="n">
        <v>615966.48</v>
      </c>
      <c r="N63" s="1" t="n">
        <v>91509.38</v>
      </c>
    </row>
    <row r="64" customFormat="false" ht="15" hidden="false" customHeight="true" outlineLevel="0" collapsed="false">
      <c r="A64" s="1" t="s">
        <v>37</v>
      </c>
      <c r="B64" s="3" t="n">
        <v>45717</v>
      </c>
      <c r="C64" s="1" t="s">
        <v>24</v>
      </c>
      <c r="D64" s="1" t="s">
        <v>18</v>
      </c>
      <c r="E64" s="1" t="n">
        <v>50343.19</v>
      </c>
      <c r="F64" s="1" t="n">
        <v>3845</v>
      </c>
      <c r="G64" s="1" t="n">
        <v>0.113</v>
      </c>
      <c r="H64" s="1" t="n">
        <v>9</v>
      </c>
      <c r="I64" s="1" t="n">
        <v>88.7</v>
      </c>
      <c r="J64" s="1" t="n">
        <v>5.15</v>
      </c>
      <c r="K64" s="1" t="n">
        <v>0</v>
      </c>
      <c r="L64" s="1" t="n">
        <v>3.3</v>
      </c>
      <c r="M64" s="1" t="n">
        <v>572011.2</v>
      </c>
      <c r="N64" s="1" t="n">
        <v>101409.68</v>
      </c>
    </row>
    <row r="65" customFormat="false" ht="15" hidden="false" customHeight="true" outlineLevel="0" collapsed="false">
      <c r="A65" s="1" t="s">
        <v>37</v>
      </c>
      <c r="B65" s="3" t="n">
        <v>45748</v>
      </c>
      <c r="C65" s="1" t="s">
        <v>24</v>
      </c>
      <c r="D65" s="1" t="s">
        <v>18</v>
      </c>
      <c r="E65" s="1" t="n">
        <v>74954.47</v>
      </c>
      <c r="F65" s="1" t="n">
        <v>6620</v>
      </c>
      <c r="G65" s="1" t="n">
        <v>0.054</v>
      </c>
      <c r="H65" s="1" t="n">
        <v>17</v>
      </c>
      <c r="I65" s="1" t="n">
        <v>91.1</v>
      </c>
      <c r="J65" s="1" t="n">
        <v>1.11</v>
      </c>
      <c r="K65" s="1" t="n">
        <v>0</v>
      </c>
      <c r="L65" s="1" t="n">
        <v>3.5</v>
      </c>
      <c r="M65" s="1" t="n">
        <v>761860.19</v>
      </c>
      <c r="N65" s="1" t="n">
        <v>133279.38</v>
      </c>
    </row>
    <row r="66" customFormat="false" ht="15" hidden="false" customHeight="true" outlineLevel="0" collapsed="false">
      <c r="A66" s="1" t="s">
        <v>38</v>
      </c>
      <c r="B66" s="3" t="n">
        <v>45658</v>
      </c>
      <c r="C66" s="1" t="s">
        <v>27</v>
      </c>
      <c r="D66" s="1" t="s">
        <v>18</v>
      </c>
      <c r="E66" s="1" t="n">
        <v>70040.31</v>
      </c>
      <c r="F66" s="1" t="n">
        <v>9175</v>
      </c>
      <c r="G66" s="1" t="n">
        <v>0.107</v>
      </c>
      <c r="H66" s="1" t="n">
        <v>23</v>
      </c>
      <c r="I66" s="1" t="n">
        <v>95.1</v>
      </c>
      <c r="J66" s="1" t="n">
        <v>6.08</v>
      </c>
      <c r="K66" s="1" t="n">
        <v>1</v>
      </c>
      <c r="L66" s="1" t="n">
        <v>3.4</v>
      </c>
      <c r="M66" s="1" t="n">
        <v>784502.68</v>
      </c>
      <c r="N66" s="1" t="n">
        <v>129519.72</v>
      </c>
    </row>
    <row r="67" customFormat="false" ht="15" hidden="false" customHeight="true" outlineLevel="0" collapsed="false">
      <c r="A67" s="1" t="s">
        <v>38</v>
      </c>
      <c r="B67" s="3" t="n">
        <v>45689</v>
      </c>
      <c r="C67" s="1" t="s">
        <v>27</v>
      </c>
      <c r="D67" s="1" t="s">
        <v>18</v>
      </c>
      <c r="E67" s="1" t="n">
        <v>51148.69</v>
      </c>
      <c r="F67" s="1" t="n">
        <v>7940</v>
      </c>
      <c r="G67" s="1" t="n">
        <v>0.156</v>
      </c>
      <c r="H67" s="1" t="n">
        <v>18</v>
      </c>
      <c r="I67" s="1" t="n">
        <v>93.3</v>
      </c>
      <c r="J67" s="1" t="n">
        <v>10.91</v>
      </c>
      <c r="K67" s="1" t="n">
        <v>0</v>
      </c>
      <c r="L67" s="1" t="n">
        <v>3.6</v>
      </c>
      <c r="M67" s="1" t="n">
        <v>717141.55</v>
      </c>
      <c r="N67" s="1" t="n">
        <v>134013.61</v>
      </c>
    </row>
    <row r="68" customFormat="false" ht="15" hidden="false" customHeight="true" outlineLevel="0" collapsed="false">
      <c r="A68" s="1" t="s">
        <v>38</v>
      </c>
      <c r="B68" s="3" t="n">
        <v>45717</v>
      </c>
      <c r="C68" s="1" t="s">
        <v>27</v>
      </c>
      <c r="D68" s="1" t="s">
        <v>18</v>
      </c>
      <c r="E68" s="1" t="n">
        <v>79346.1</v>
      </c>
      <c r="F68" s="1" t="n">
        <v>9628</v>
      </c>
      <c r="G68" s="1" t="n">
        <v>0.102</v>
      </c>
      <c r="H68" s="1" t="n">
        <v>20</v>
      </c>
      <c r="I68" s="1" t="n">
        <v>99</v>
      </c>
      <c r="J68" s="1" t="n">
        <v>19.01</v>
      </c>
      <c r="K68" s="1" t="n">
        <v>1</v>
      </c>
      <c r="L68" s="1" t="n">
        <v>3.2</v>
      </c>
      <c r="M68" s="1" t="n">
        <v>685379.08</v>
      </c>
      <c r="N68" s="1" t="n">
        <v>106898.82</v>
      </c>
    </row>
    <row r="69" customFormat="false" ht="15" hidden="false" customHeight="true" outlineLevel="0" collapsed="false">
      <c r="A69" s="1" t="s">
        <v>38</v>
      </c>
      <c r="B69" s="3" t="n">
        <v>45748</v>
      </c>
      <c r="C69" s="1" t="s">
        <v>27</v>
      </c>
      <c r="D69" s="1" t="s">
        <v>18</v>
      </c>
      <c r="E69" s="1" t="n">
        <v>42018.4</v>
      </c>
      <c r="F69" s="1" t="n">
        <v>8296</v>
      </c>
      <c r="G69" s="1" t="n">
        <v>0.115</v>
      </c>
      <c r="H69" s="1" t="n">
        <v>17</v>
      </c>
      <c r="I69" s="1" t="n">
        <v>91.8</v>
      </c>
      <c r="J69" s="1" t="n">
        <v>0.77</v>
      </c>
      <c r="K69" s="1" t="n">
        <v>0</v>
      </c>
      <c r="L69" s="1" t="n">
        <v>3.4</v>
      </c>
      <c r="M69" s="1" t="n">
        <v>740496.65</v>
      </c>
      <c r="N69" s="1" t="n">
        <v>128020.9</v>
      </c>
    </row>
    <row r="70" customFormat="false" ht="15" hidden="false" customHeight="true" outlineLevel="0" collapsed="false">
      <c r="A70" s="1" t="s">
        <v>39</v>
      </c>
      <c r="B70" s="3" t="n">
        <v>45658</v>
      </c>
      <c r="C70" s="1" t="s">
        <v>15</v>
      </c>
      <c r="D70" s="1" t="s">
        <v>18</v>
      </c>
      <c r="E70" s="1" t="n">
        <v>70937.24</v>
      </c>
      <c r="F70" s="1" t="n">
        <v>3595</v>
      </c>
      <c r="G70" s="1" t="n">
        <v>0.141</v>
      </c>
      <c r="H70" s="1" t="n">
        <v>11</v>
      </c>
      <c r="I70" s="1" t="n">
        <v>88.9</v>
      </c>
      <c r="J70" s="1" t="n">
        <v>2.83</v>
      </c>
      <c r="K70" s="1" t="n">
        <v>1</v>
      </c>
      <c r="L70" s="1" t="n">
        <v>3.3</v>
      </c>
      <c r="M70" s="1" t="n">
        <v>661927.14</v>
      </c>
      <c r="N70" s="1" t="n">
        <v>79218.57</v>
      </c>
    </row>
    <row r="71" customFormat="false" ht="15" hidden="false" customHeight="true" outlineLevel="0" collapsed="false">
      <c r="A71" s="1" t="s">
        <v>39</v>
      </c>
      <c r="B71" s="3" t="n">
        <v>45689</v>
      </c>
      <c r="C71" s="1" t="s">
        <v>15</v>
      </c>
      <c r="D71" s="1" t="s">
        <v>18</v>
      </c>
      <c r="E71" s="1" t="n">
        <v>36813.45</v>
      </c>
      <c r="F71" s="1" t="n">
        <v>2834</v>
      </c>
      <c r="G71" s="1" t="n">
        <v>0.191</v>
      </c>
      <c r="H71" s="1" t="n">
        <v>11</v>
      </c>
      <c r="I71" s="1" t="n">
        <v>81.8</v>
      </c>
      <c r="J71" s="1" t="n">
        <v>2.33</v>
      </c>
      <c r="K71" s="1" t="n">
        <v>0</v>
      </c>
      <c r="L71" s="1" t="n">
        <v>3.3</v>
      </c>
      <c r="M71" s="1" t="n">
        <v>479050.5</v>
      </c>
      <c r="N71" s="1" t="n">
        <v>53651.11</v>
      </c>
    </row>
    <row r="72" customFormat="false" ht="15" hidden="false" customHeight="true" outlineLevel="0" collapsed="false">
      <c r="A72" s="1" t="s">
        <v>39</v>
      </c>
      <c r="B72" s="3" t="n">
        <v>45717</v>
      </c>
      <c r="C72" s="1" t="s">
        <v>15</v>
      </c>
      <c r="D72" s="1" t="s">
        <v>18</v>
      </c>
      <c r="E72" s="1" t="n">
        <v>60571.82</v>
      </c>
      <c r="F72" s="1" t="n">
        <v>3193</v>
      </c>
      <c r="G72" s="1" t="n">
        <v>0.197</v>
      </c>
      <c r="H72" s="1" t="n">
        <v>7</v>
      </c>
      <c r="I72" s="1" t="n">
        <v>99</v>
      </c>
      <c r="J72" s="1" t="n">
        <v>1.43</v>
      </c>
      <c r="K72" s="1" t="n">
        <v>0</v>
      </c>
      <c r="L72" s="1" t="n">
        <v>3.2</v>
      </c>
      <c r="M72" s="1" t="n">
        <v>605023.87</v>
      </c>
      <c r="N72" s="1" t="n">
        <v>98545.81</v>
      </c>
    </row>
    <row r="73" customFormat="false" ht="15" hidden="false" customHeight="true" outlineLevel="0" collapsed="false">
      <c r="A73" s="1" t="s">
        <v>39</v>
      </c>
      <c r="B73" s="3" t="n">
        <v>45748</v>
      </c>
      <c r="C73" s="1" t="s">
        <v>15</v>
      </c>
      <c r="D73" s="1" t="s">
        <v>18</v>
      </c>
      <c r="E73" s="1" t="n">
        <v>55081.16</v>
      </c>
      <c r="F73" s="1" t="n">
        <v>5485</v>
      </c>
      <c r="G73" s="1" t="n">
        <v>0.036</v>
      </c>
      <c r="H73" s="1" t="n">
        <v>12</v>
      </c>
      <c r="I73" s="1" t="n">
        <v>88</v>
      </c>
      <c r="K73" s="1" t="n">
        <v>0</v>
      </c>
      <c r="L73" s="1" t="n">
        <v>3.5</v>
      </c>
      <c r="M73" s="1" t="n">
        <v>674774.09</v>
      </c>
      <c r="N73" s="1" t="n">
        <v>141917.59</v>
      </c>
    </row>
    <row r="74" customFormat="false" ht="15" hidden="false" customHeight="true" outlineLevel="0" collapsed="false">
      <c r="A74" s="1" t="s">
        <v>40</v>
      </c>
      <c r="B74" s="3" t="n">
        <v>45658</v>
      </c>
      <c r="C74" s="1" t="s">
        <v>15</v>
      </c>
      <c r="D74" s="1" t="s">
        <v>16</v>
      </c>
      <c r="E74" s="1" t="n">
        <v>46201.46</v>
      </c>
      <c r="F74" s="1" t="n">
        <v>5918</v>
      </c>
      <c r="G74" s="1" t="n">
        <v>0.277</v>
      </c>
      <c r="H74" s="1" t="n">
        <v>13</v>
      </c>
      <c r="I74" s="1" t="n">
        <v>78.8</v>
      </c>
      <c r="J74" s="1" t="n">
        <v>4.91</v>
      </c>
      <c r="K74" s="1" t="n">
        <v>0</v>
      </c>
      <c r="L74" s="1" t="n">
        <v>4.5</v>
      </c>
      <c r="M74" s="1" t="n">
        <v>616069.41</v>
      </c>
      <c r="N74" s="1" t="n">
        <v>54453.99</v>
      </c>
    </row>
    <row r="75" customFormat="false" ht="15" hidden="false" customHeight="true" outlineLevel="0" collapsed="false">
      <c r="A75" s="1" t="s">
        <v>40</v>
      </c>
      <c r="B75" s="3" t="n">
        <v>45689</v>
      </c>
      <c r="C75" s="1" t="s">
        <v>15</v>
      </c>
      <c r="D75" s="1" t="s">
        <v>16</v>
      </c>
      <c r="E75" s="1" t="n">
        <v>53762.92</v>
      </c>
      <c r="F75" s="1" t="n">
        <v>6821</v>
      </c>
      <c r="G75" s="1" t="n">
        <v>0.066</v>
      </c>
      <c r="H75" s="1" t="n">
        <v>19</v>
      </c>
      <c r="I75" s="1" t="n">
        <v>94.6</v>
      </c>
      <c r="J75" s="1" t="n">
        <v>7.03</v>
      </c>
      <c r="K75" s="1" t="n">
        <v>0</v>
      </c>
      <c r="L75" s="1" t="n">
        <v>4.4</v>
      </c>
      <c r="M75" s="1" t="n">
        <v>630829.94</v>
      </c>
      <c r="N75" s="1" t="n">
        <v>117090.02</v>
      </c>
    </row>
    <row r="76" customFormat="false" ht="15" hidden="false" customHeight="true" outlineLevel="0" collapsed="false">
      <c r="A76" s="1" t="s">
        <v>40</v>
      </c>
      <c r="B76" s="3" t="n">
        <v>45717</v>
      </c>
      <c r="C76" s="1" t="s">
        <v>15</v>
      </c>
      <c r="D76" s="1" t="s">
        <v>16</v>
      </c>
      <c r="E76" s="1" t="n">
        <v>70144.78</v>
      </c>
      <c r="F76" s="1" t="n">
        <v>6806</v>
      </c>
      <c r="G76" s="1" t="n">
        <v>0.178</v>
      </c>
      <c r="H76" s="1" t="n">
        <v>20</v>
      </c>
      <c r="I76" s="1" t="n">
        <v>93.1</v>
      </c>
      <c r="J76" s="1" t="n">
        <v>0.28</v>
      </c>
      <c r="K76" s="1" t="n">
        <v>1</v>
      </c>
      <c r="L76" s="1" t="n">
        <v>4.3</v>
      </c>
      <c r="M76" s="1" t="n">
        <v>788087.68</v>
      </c>
      <c r="N76" s="1" t="n">
        <v>116803.42</v>
      </c>
    </row>
    <row r="77" customFormat="false" ht="15" hidden="false" customHeight="true" outlineLevel="0" collapsed="false">
      <c r="A77" s="1" t="s">
        <v>40</v>
      </c>
      <c r="B77" s="3" t="n">
        <v>45748</v>
      </c>
      <c r="C77" s="1" t="s">
        <v>15</v>
      </c>
      <c r="D77" s="1" t="s">
        <v>16</v>
      </c>
      <c r="E77" s="1" t="n">
        <v>58749.63</v>
      </c>
      <c r="F77" s="1" t="n">
        <v>8252</v>
      </c>
      <c r="G77" s="1" t="n">
        <v>0.203</v>
      </c>
      <c r="H77" s="1" t="n">
        <v>20</v>
      </c>
      <c r="I77" s="1" t="n">
        <v>85.2</v>
      </c>
      <c r="J77" s="1" t="n">
        <v>3.61</v>
      </c>
      <c r="K77" s="1" t="n">
        <v>0</v>
      </c>
      <c r="L77" s="1" t="n">
        <v>4.5</v>
      </c>
      <c r="M77" s="1" t="n">
        <v>680840.36</v>
      </c>
      <c r="N77" s="1" t="n">
        <v>68007.68</v>
      </c>
    </row>
    <row r="78" customFormat="false" ht="15" hidden="false" customHeight="true" outlineLevel="0" collapsed="false">
      <c r="A78" s="1" t="s">
        <v>41</v>
      </c>
      <c r="B78" s="3" t="n">
        <v>45658</v>
      </c>
      <c r="C78" s="1" t="s">
        <v>24</v>
      </c>
      <c r="D78" s="1" t="s">
        <v>18</v>
      </c>
      <c r="E78" s="1" t="n">
        <v>56973.18</v>
      </c>
      <c r="F78" s="1" t="n">
        <v>6662</v>
      </c>
      <c r="G78" s="1" t="n">
        <v>0.1</v>
      </c>
      <c r="H78" s="1" t="n">
        <v>15</v>
      </c>
      <c r="I78" s="1" t="n">
        <v>77.7</v>
      </c>
      <c r="J78" s="1" t="n">
        <v>7.52</v>
      </c>
      <c r="K78" s="1" t="n">
        <v>1</v>
      </c>
      <c r="L78" s="1" t="n">
        <v>3.2</v>
      </c>
      <c r="M78" s="1" t="n">
        <v>643657.47</v>
      </c>
      <c r="N78" s="1" t="n">
        <v>87022.45</v>
      </c>
    </row>
    <row r="79" customFormat="false" ht="15" hidden="false" customHeight="true" outlineLevel="0" collapsed="false">
      <c r="A79" s="1" t="s">
        <v>41</v>
      </c>
      <c r="B79" s="3" t="n">
        <v>45689</v>
      </c>
      <c r="C79" s="1" t="s">
        <v>24</v>
      </c>
      <c r="D79" s="1" t="s">
        <v>18</v>
      </c>
      <c r="E79" s="1" t="n">
        <v>54872.82</v>
      </c>
      <c r="F79" s="1" t="n">
        <v>5962</v>
      </c>
      <c r="G79" s="1" t="n">
        <v>0.064</v>
      </c>
      <c r="H79" s="1" t="n">
        <v>12</v>
      </c>
      <c r="I79" s="1" t="n">
        <v>85.4</v>
      </c>
      <c r="J79" s="1" t="n">
        <v>2.58</v>
      </c>
      <c r="K79" s="1" t="n">
        <v>0</v>
      </c>
      <c r="L79" s="1" t="n">
        <v>2.9</v>
      </c>
      <c r="M79" s="1" t="n">
        <v>691112.6</v>
      </c>
      <c r="N79" s="1" t="n">
        <v>109212.83</v>
      </c>
    </row>
    <row r="80" customFormat="false" ht="15" hidden="false" customHeight="true" outlineLevel="0" collapsed="false">
      <c r="A80" s="1" t="s">
        <v>41</v>
      </c>
      <c r="B80" s="3" t="n">
        <v>45717</v>
      </c>
      <c r="C80" s="1" t="s">
        <v>24</v>
      </c>
      <c r="D80" s="1" t="s">
        <v>18</v>
      </c>
      <c r="E80" s="1" t="n">
        <v>80562.81</v>
      </c>
      <c r="F80" s="1" t="n">
        <v>7470</v>
      </c>
      <c r="G80" s="1" t="n">
        <v>0.172</v>
      </c>
      <c r="H80" s="1" t="n">
        <v>16</v>
      </c>
      <c r="I80" s="1" t="n">
        <v>83.5</v>
      </c>
      <c r="J80" s="1" t="n">
        <v>2.29</v>
      </c>
      <c r="K80" s="1" t="n">
        <v>0</v>
      </c>
      <c r="L80" s="1" t="n">
        <v>3.3</v>
      </c>
      <c r="M80" s="1" t="n">
        <v>776922.17</v>
      </c>
      <c r="N80" s="1" t="n">
        <v>150701.93</v>
      </c>
    </row>
    <row r="81" customFormat="false" ht="15" hidden="false" customHeight="true" outlineLevel="0" collapsed="false">
      <c r="A81" s="1" t="s">
        <v>41</v>
      </c>
      <c r="B81" s="3" t="n">
        <v>45748</v>
      </c>
      <c r="C81" s="1" t="s">
        <v>24</v>
      </c>
      <c r="D81" s="1" t="s">
        <v>18</v>
      </c>
      <c r="E81" s="1" t="n">
        <v>77999.9</v>
      </c>
      <c r="F81" s="1" t="n">
        <v>5974</v>
      </c>
      <c r="G81" s="1" t="n">
        <v>0.252</v>
      </c>
      <c r="H81" s="1" t="n">
        <v>14</v>
      </c>
      <c r="I81" s="1" t="n">
        <v>81.3</v>
      </c>
      <c r="J81" s="1" t="n">
        <v>2.39</v>
      </c>
      <c r="K81" s="1" t="n">
        <v>0</v>
      </c>
      <c r="L81" s="1" t="n">
        <v>3.2</v>
      </c>
      <c r="M81" s="1" t="n">
        <v>636561.34</v>
      </c>
      <c r="N81" s="1" t="n">
        <v>93861.06</v>
      </c>
    </row>
    <row r="82" customFormat="false" ht="15" hidden="false" customHeight="true" outlineLevel="0" collapsed="false">
      <c r="A82" s="1" t="s">
        <v>42</v>
      </c>
      <c r="B82" s="3" t="n">
        <v>45658</v>
      </c>
      <c r="C82" s="1" t="s">
        <v>27</v>
      </c>
      <c r="D82" s="1" t="s">
        <v>28</v>
      </c>
      <c r="E82" s="1" t="n">
        <v>60881.01</v>
      </c>
      <c r="F82" s="1" t="n">
        <v>5410</v>
      </c>
      <c r="G82" s="1" t="n">
        <v>0.179</v>
      </c>
      <c r="H82" s="1" t="n">
        <v>15</v>
      </c>
      <c r="I82" s="1" t="n">
        <v>83.9</v>
      </c>
      <c r="J82" s="1" t="n">
        <v>5.24</v>
      </c>
      <c r="K82" s="1" t="n">
        <v>0</v>
      </c>
      <c r="L82" s="1" t="n">
        <v>4.6</v>
      </c>
      <c r="M82" s="1" t="n">
        <v>621369.58</v>
      </c>
      <c r="N82" s="1" t="n">
        <v>85493.64</v>
      </c>
    </row>
    <row r="83" customFormat="false" ht="15" hidden="false" customHeight="true" outlineLevel="0" collapsed="false">
      <c r="A83" s="1" t="s">
        <v>42</v>
      </c>
      <c r="B83" s="3" t="n">
        <v>45689</v>
      </c>
      <c r="C83" s="1" t="s">
        <v>27</v>
      </c>
      <c r="D83" s="1" t="s">
        <v>28</v>
      </c>
      <c r="E83" s="1" t="n">
        <v>60628.38</v>
      </c>
      <c r="F83" s="1" t="n">
        <v>4451</v>
      </c>
      <c r="G83" s="1" t="n">
        <v>0.095</v>
      </c>
      <c r="H83" s="1" t="n">
        <v>10</v>
      </c>
      <c r="I83" s="1" t="n">
        <v>89.6</v>
      </c>
      <c r="J83" s="1" t="n">
        <v>3.17</v>
      </c>
      <c r="K83" s="1" t="n">
        <v>0</v>
      </c>
      <c r="L83" s="1" t="n">
        <v>4.6</v>
      </c>
      <c r="M83" s="1" t="n">
        <v>682208.01</v>
      </c>
      <c r="N83" s="1" t="n">
        <v>110318.84</v>
      </c>
    </row>
    <row r="84" customFormat="false" ht="15" hidden="false" customHeight="true" outlineLevel="0" collapsed="false">
      <c r="A84" s="1" t="s">
        <v>42</v>
      </c>
      <c r="B84" s="3" t="n">
        <v>45717</v>
      </c>
      <c r="C84" s="1" t="s">
        <v>27</v>
      </c>
      <c r="D84" s="1" t="s">
        <v>28</v>
      </c>
      <c r="E84" s="1" t="n">
        <v>72731.14</v>
      </c>
      <c r="F84" s="1" t="n">
        <v>4644</v>
      </c>
      <c r="G84" s="1" t="n">
        <v>0.084</v>
      </c>
      <c r="H84" s="1" t="n">
        <v>15</v>
      </c>
      <c r="I84" s="1" t="n">
        <v>87.1</v>
      </c>
      <c r="J84" s="1" t="n">
        <v>2.66</v>
      </c>
      <c r="K84" s="1" t="n">
        <v>0</v>
      </c>
      <c r="L84" s="1" t="n">
        <v>4.6</v>
      </c>
      <c r="M84" s="1" t="n">
        <v>727241.86</v>
      </c>
      <c r="N84" s="1" t="n">
        <v>155810.3</v>
      </c>
    </row>
    <row r="85" customFormat="false" ht="15" hidden="false" customHeight="true" outlineLevel="0" collapsed="false">
      <c r="A85" s="1" t="s">
        <v>42</v>
      </c>
      <c r="B85" s="3" t="n">
        <v>45748</v>
      </c>
      <c r="C85" s="1" t="s">
        <v>27</v>
      </c>
      <c r="D85" s="1" t="s">
        <v>28</v>
      </c>
      <c r="E85" s="1" t="n">
        <v>36475.71</v>
      </c>
      <c r="F85" s="1" t="n">
        <v>3559</v>
      </c>
      <c r="G85" s="1" t="n">
        <v>0.03</v>
      </c>
      <c r="H85" s="1" t="n">
        <v>8</v>
      </c>
      <c r="I85" s="1" t="n">
        <v>83.6</v>
      </c>
      <c r="J85" s="1" t="n">
        <v>1.41</v>
      </c>
      <c r="K85" s="1" t="n">
        <v>0</v>
      </c>
      <c r="L85" s="1" t="n">
        <v>4.2</v>
      </c>
      <c r="M85" s="1" t="n">
        <v>569100.78</v>
      </c>
      <c r="N85" s="1" t="n">
        <v>104808.78</v>
      </c>
    </row>
    <row r="86" customFormat="false" ht="15" hidden="false" customHeight="true" outlineLevel="0" collapsed="false">
      <c r="A86" s="1" t="s">
        <v>43</v>
      </c>
      <c r="B86" s="3" t="n">
        <v>45658</v>
      </c>
      <c r="C86" s="1" t="s">
        <v>27</v>
      </c>
      <c r="D86" s="1" t="s">
        <v>18</v>
      </c>
      <c r="E86" s="1" t="n">
        <v>55388.11</v>
      </c>
      <c r="F86" s="1" t="n">
        <v>3091</v>
      </c>
      <c r="G86" s="1" t="n">
        <v>0.108</v>
      </c>
      <c r="H86" s="1" t="n">
        <v>7</v>
      </c>
      <c r="I86" s="1" t="n">
        <v>85.4</v>
      </c>
      <c r="J86" s="1" t="n">
        <v>7.34</v>
      </c>
      <c r="K86" s="1" t="n">
        <v>0</v>
      </c>
      <c r="L86" s="1" t="n">
        <v>4.9</v>
      </c>
      <c r="M86" s="1" t="n">
        <v>574436.29</v>
      </c>
      <c r="N86" s="1" t="n">
        <v>80271.99</v>
      </c>
    </row>
    <row r="87" customFormat="false" ht="15" hidden="false" customHeight="true" outlineLevel="0" collapsed="false">
      <c r="A87" s="1" t="s">
        <v>43</v>
      </c>
      <c r="B87" s="3" t="n">
        <v>45689</v>
      </c>
      <c r="C87" s="1" t="s">
        <v>27</v>
      </c>
      <c r="D87" s="1" t="s">
        <v>18</v>
      </c>
      <c r="E87" s="1" t="n">
        <v>88443.77</v>
      </c>
      <c r="F87" s="1" t="n">
        <v>4004</v>
      </c>
      <c r="G87" s="1" t="n">
        <v>0.206</v>
      </c>
      <c r="H87" s="1" t="n">
        <v>11</v>
      </c>
      <c r="I87" s="1" t="n">
        <v>91.9</v>
      </c>
      <c r="J87" s="1" t="n">
        <v>5.95</v>
      </c>
      <c r="K87" s="1" t="n">
        <v>0</v>
      </c>
      <c r="M87" s="1" t="n">
        <v>611766.72</v>
      </c>
      <c r="N87" s="1" t="n">
        <v>88275.61</v>
      </c>
    </row>
    <row r="88" customFormat="false" ht="15" hidden="false" customHeight="true" outlineLevel="0" collapsed="false">
      <c r="A88" s="1" t="s">
        <v>43</v>
      </c>
      <c r="B88" s="3" t="n">
        <v>45717</v>
      </c>
      <c r="C88" s="1" t="s">
        <v>27</v>
      </c>
      <c r="D88" s="1" t="s">
        <v>18</v>
      </c>
      <c r="E88" s="1" t="n">
        <v>78231.91</v>
      </c>
      <c r="F88" s="1" t="n">
        <v>3788</v>
      </c>
      <c r="G88" s="1" t="n">
        <v>0.059</v>
      </c>
      <c r="H88" s="1" t="n">
        <v>11</v>
      </c>
      <c r="I88" s="1" t="n">
        <v>88.5</v>
      </c>
      <c r="J88" s="1" t="n">
        <v>15.51</v>
      </c>
      <c r="K88" s="1" t="n">
        <v>0</v>
      </c>
      <c r="L88" s="1" t="n">
        <v>4.3</v>
      </c>
      <c r="M88" s="1" t="n">
        <v>614596.32</v>
      </c>
      <c r="N88" s="1" t="n">
        <v>131199.41</v>
      </c>
    </row>
    <row r="89" customFormat="false" ht="15" hidden="false" customHeight="true" outlineLevel="0" collapsed="false">
      <c r="A89" s="1" t="s">
        <v>43</v>
      </c>
      <c r="B89" s="3" t="n">
        <v>45748</v>
      </c>
      <c r="C89" s="1" t="s">
        <v>27</v>
      </c>
      <c r="D89" s="1" t="s">
        <v>18</v>
      </c>
      <c r="E89" s="1" t="n">
        <v>18996.32</v>
      </c>
      <c r="F89" s="1" t="n">
        <v>1260</v>
      </c>
      <c r="G89" s="1" t="n">
        <v>0.145</v>
      </c>
      <c r="H89" s="1" t="n">
        <v>9</v>
      </c>
      <c r="I89" s="1" t="n">
        <v>86.4</v>
      </c>
      <c r="J89" s="1" t="n">
        <v>4.31</v>
      </c>
      <c r="K89" s="1" t="n">
        <v>0</v>
      </c>
      <c r="L89" s="1" t="n">
        <v>4.6</v>
      </c>
      <c r="M89" s="1" t="n">
        <v>450711.92</v>
      </c>
      <c r="N89" s="1" t="n">
        <v>90043.76</v>
      </c>
    </row>
    <row r="90" customFormat="false" ht="15" hidden="false" customHeight="true" outlineLevel="0" collapsed="false">
      <c r="A90" s="1" t="s">
        <v>44</v>
      </c>
      <c r="B90" s="3" t="n">
        <v>45658</v>
      </c>
      <c r="C90" s="1" t="s">
        <v>24</v>
      </c>
      <c r="D90" s="1" t="s">
        <v>28</v>
      </c>
      <c r="E90" s="1" t="n">
        <v>50517.94</v>
      </c>
      <c r="F90" s="1" t="n">
        <v>7024</v>
      </c>
      <c r="G90" s="1" t="n">
        <v>0.029</v>
      </c>
      <c r="H90" s="1" t="n">
        <v>18</v>
      </c>
      <c r="I90" s="1" t="n">
        <v>79.2</v>
      </c>
      <c r="J90" s="1" t="n">
        <v>6.61</v>
      </c>
      <c r="K90" s="1" t="n">
        <v>1</v>
      </c>
      <c r="L90" s="1" t="n">
        <v>4.1</v>
      </c>
      <c r="M90" s="1" t="n">
        <v>711213.46</v>
      </c>
      <c r="N90" s="1" t="n">
        <v>105863.26</v>
      </c>
    </row>
    <row r="91" customFormat="false" ht="15" hidden="false" customHeight="true" outlineLevel="0" collapsed="false">
      <c r="A91" s="1" t="s">
        <v>44</v>
      </c>
      <c r="B91" s="3" t="n">
        <v>45689</v>
      </c>
      <c r="C91" s="1" t="s">
        <v>24</v>
      </c>
      <c r="D91" s="1" t="s">
        <v>28</v>
      </c>
      <c r="E91" s="1" t="n">
        <v>141540.29</v>
      </c>
      <c r="F91" s="1" t="n">
        <v>5400</v>
      </c>
      <c r="G91" s="1" t="n">
        <v>0.013</v>
      </c>
      <c r="H91" s="1" t="n">
        <v>12</v>
      </c>
      <c r="I91" s="1" t="n">
        <v>87</v>
      </c>
      <c r="J91" s="1" t="n">
        <v>4.26</v>
      </c>
      <c r="K91" s="1" t="n">
        <v>0</v>
      </c>
      <c r="L91" s="1" t="n">
        <v>4.5</v>
      </c>
      <c r="M91" s="1" t="n">
        <v>627171.9</v>
      </c>
      <c r="N91" s="1" t="n">
        <v>105772.75</v>
      </c>
    </row>
    <row r="92" customFormat="false" ht="15" hidden="false" customHeight="true" outlineLevel="0" collapsed="false">
      <c r="A92" s="1" t="s">
        <v>44</v>
      </c>
      <c r="B92" s="3" t="n">
        <v>45717</v>
      </c>
      <c r="C92" s="1" t="s">
        <v>24</v>
      </c>
      <c r="D92" s="1" t="s">
        <v>28</v>
      </c>
      <c r="E92" s="1" t="n">
        <v>82116.19</v>
      </c>
      <c r="F92" s="1" t="n">
        <v>5988</v>
      </c>
      <c r="G92" s="1" t="n">
        <v>0.04</v>
      </c>
      <c r="H92" s="1" t="n">
        <v>17</v>
      </c>
      <c r="I92" s="1" t="n">
        <v>91.8</v>
      </c>
      <c r="J92" s="1" t="n">
        <v>5.75</v>
      </c>
      <c r="K92" s="1" t="n">
        <v>0</v>
      </c>
      <c r="L92" s="1" t="n">
        <v>4.7</v>
      </c>
      <c r="M92" s="1" t="n">
        <v>739852.58</v>
      </c>
      <c r="N92" s="1" t="n">
        <v>129386.43</v>
      </c>
    </row>
    <row r="93" customFormat="false" ht="15" hidden="false" customHeight="true" outlineLevel="0" collapsed="false">
      <c r="A93" s="1" t="s">
        <v>44</v>
      </c>
      <c r="B93" s="3" t="n">
        <v>45748</v>
      </c>
      <c r="C93" s="1" t="s">
        <v>24</v>
      </c>
      <c r="D93" s="1" t="s">
        <v>28</v>
      </c>
      <c r="E93" s="1" t="n">
        <v>31207.51</v>
      </c>
      <c r="F93" s="1" t="n">
        <v>3701</v>
      </c>
      <c r="G93" s="1" t="n">
        <v>0.043</v>
      </c>
      <c r="H93" s="1" t="n">
        <v>11</v>
      </c>
      <c r="I93" s="1" t="n">
        <v>84.7</v>
      </c>
      <c r="J93" s="1" t="n">
        <v>0.33</v>
      </c>
      <c r="K93" s="1" t="n">
        <v>0</v>
      </c>
      <c r="L93" s="1" t="n">
        <v>4.3</v>
      </c>
      <c r="M93" s="1" t="n">
        <v>586307.22</v>
      </c>
      <c r="N93" s="1" t="n">
        <v>73927.85</v>
      </c>
    </row>
    <row r="94" customFormat="false" ht="15" hidden="false" customHeight="true" outlineLevel="0" collapsed="false">
      <c r="A94" s="1" t="s">
        <v>45</v>
      </c>
      <c r="B94" s="3" t="n">
        <v>45658</v>
      </c>
      <c r="C94" s="1" t="s">
        <v>27</v>
      </c>
      <c r="D94" s="1" t="s">
        <v>16</v>
      </c>
      <c r="E94" s="1" t="n">
        <v>38966.59</v>
      </c>
      <c r="F94" s="1" t="n">
        <v>4509</v>
      </c>
      <c r="G94" s="1" t="n">
        <v>0.194</v>
      </c>
      <c r="H94" s="1" t="n">
        <v>14</v>
      </c>
      <c r="I94" s="1" t="n">
        <v>91.1</v>
      </c>
      <c r="J94" s="1" t="n">
        <v>2.92</v>
      </c>
      <c r="K94" s="1" t="n">
        <v>0</v>
      </c>
      <c r="L94" s="1" t="n">
        <v>4.6</v>
      </c>
      <c r="M94" s="1" t="n">
        <v>585937.48</v>
      </c>
      <c r="N94" s="1" t="n">
        <v>82624.2</v>
      </c>
    </row>
    <row r="95" customFormat="false" ht="15" hidden="false" customHeight="true" outlineLevel="0" collapsed="false">
      <c r="A95" s="1" t="s">
        <v>45</v>
      </c>
      <c r="B95" s="3" t="n">
        <v>45689</v>
      </c>
      <c r="C95" s="1" t="s">
        <v>27</v>
      </c>
      <c r="D95" s="1" t="s">
        <v>16</v>
      </c>
      <c r="E95" s="1" t="n">
        <v>67439.3</v>
      </c>
      <c r="F95" s="1" t="n">
        <v>6477</v>
      </c>
      <c r="G95" s="1" t="n">
        <v>0</v>
      </c>
      <c r="H95" s="1" t="n">
        <v>16</v>
      </c>
      <c r="I95" s="1" t="n">
        <v>90.9</v>
      </c>
      <c r="J95" s="1" t="n">
        <v>1.64</v>
      </c>
      <c r="K95" s="1" t="n">
        <v>0</v>
      </c>
      <c r="L95" s="1" t="n">
        <v>4.5</v>
      </c>
      <c r="M95" s="1" t="n">
        <v>753473.55</v>
      </c>
      <c r="N95" s="1" t="n">
        <v>151527.22</v>
      </c>
    </row>
    <row r="96" customFormat="false" ht="15" hidden="false" customHeight="true" outlineLevel="0" collapsed="false">
      <c r="A96" s="1" t="s">
        <v>45</v>
      </c>
      <c r="B96" s="3" t="n">
        <v>45717</v>
      </c>
      <c r="C96" s="1" t="s">
        <v>27</v>
      </c>
      <c r="D96" s="1" t="s">
        <v>16</v>
      </c>
      <c r="E96" s="1" t="n">
        <v>86421.88</v>
      </c>
      <c r="F96" s="1" t="n">
        <v>7970</v>
      </c>
      <c r="G96" s="1" t="n">
        <v>0.073</v>
      </c>
      <c r="H96" s="1" t="n">
        <v>17</v>
      </c>
      <c r="I96" s="1" t="n">
        <v>91.3</v>
      </c>
      <c r="J96" s="1" t="n">
        <v>0.8</v>
      </c>
      <c r="K96" s="1" t="n">
        <v>0</v>
      </c>
      <c r="L96" s="1" t="n">
        <v>5</v>
      </c>
      <c r="M96" s="1" t="n">
        <v>838250.32</v>
      </c>
      <c r="N96" s="1" t="n">
        <v>122939.34</v>
      </c>
    </row>
    <row r="97" customFormat="false" ht="15" hidden="false" customHeight="true" outlineLevel="0" collapsed="false">
      <c r="A97" s="1" t="s">
        <v>45</v>
      </c>
      <c r="B97" s="3" t="n">
        <v>45748</v>
      </c>
      <c r="C97" s="1" t="s">
        <v>27</v>
      </c>
      <c r="D97" s="1" t="s">
        <v>16</v>
      </c>
      <c r="E97" s="1" t="n">
        <v>9534.65</v>
      </c>
      <c r="F97" s="1" t="n">
        <v>6057</v>
      </c>
      <c r="G97" s="1" t="n">
        <v>0.074</v>
      </c>
      <c r="H97" s="1" t="n">
        <v>15</v>
      </c>
      <c r="I97" s="1" t="n">
        <v>94.1</v>
      </c>
      <c r="J97" s="1" t="n">
        <v>5.79</v>
      </c>
      <c r="K97" s="1" t="n">
        <v>0</v>
      </c>
      <c r="L97" s="1" t="n">
        <v>4.5</v>
      </c>
      <c r="M97" s="1" t="n">
        <v>607898.12</v>
      </c>
      <c r="N97" s="1" t="n">
        <v>135404.85</v>
      </c>
    </row>
    <row r="98" customFormat="false" ht="15" hidden="false" customHeight="true" outlineLevel="0" collapsed="false">
      <c r="A98" s="1" t="s">
        <v>46</v>
      </c>
      <c r="B98" s="3" t="n">
        <v>45658</v>
      </c>
      <c r="C98" s="1" t="s">
        <v>27</v>
      </c>
      <c r="D98" s="1" t="s">
        <v>28</v>
      </c>
      <c r="E98" s="1" t="n">
        <v>61132.07</v>
      </c>
      <c r="F98" s="1" t="n">
        <v>6394</v>
      </c>
      <c r="G98" s="1" t="n">
        <v>0.163</v>
      </c>
      <c r="H98" s="1" t="n">
        <v>19</v>
      </c>
      <c r="I98" s="1" t="n">
        <v>91</v>
      </c>
      <c r="J98" s="1" t="n">
        <v>19.6</v>
      </c>
      <c r="K98" s="1" t="n">
        <v>0</v>
      </c>
      <c r="L98" s="1" t="n">
        <v>4.4</v>
      </c>
      <c r="M98" s="1" t="n">
        <v>691113.62</v>
      </c>
      <c r="N98" s="1" t="n">
        <v>135145.44</v>
      </c>
    </row>
    <row r="99" customFormat="false" ht="15" hidden="false" customHeight="true" outlineLevel="0" collapsed="false">
      <c r="A99" s="1" t="s">
        <v>46</v>
      </c>
      <c r="B99" s="3" t="n">
        <v>45689</v>
      </c>
      <c r="C99" s="1" t="s">
        <v>27</v>
      </c>
      <c r="D99" s="1" t="s">
        <v>28</v>
      </c>
      <c r="E99" s="1" t="n">
        <v>78839.39</v>
      </c>
      <c r="F99" s="1" t="n">
        <v>5150</v>
      </c>
      <c r="G99" s="1" t="n">
        <v>0.171</v>
      </c>
      <c r="H99" s="1" t="n">
        <v>13</v>
      </c>
      <c r="I99" s="1" t="n">
        <v>85.8</v>
      </c>
      <c r="J99" s="1" t="n">
        <v>7.57</v>
      </c>
      <c r="K99" s="1" t="n">
        <v>0</v>
      </c>
      <c r="L99" s="1" t="n">
        <v>4.3</v>
      </c>
      <c r="M99" s="1" t="n">
        <v>735509.4</v>
      </c>
      <c r="N99" s="1" t="n">
        <v>83895.96</v>
      </c>
    </row>
    <row r="100" customFormat="false" ht="15" hidden="false" customHeight="true" outlineLevel="0" collapsed="false">
      <c r="A100" s="1" t="s">
        <v>46</v>
      </c>
      <c r="B100" s="3" t="n">
        <v>45717</v>
      </c>
      <c r="C100" s="1" t="s">
        <v>27</v>
      </c>
      <c r="D100" s="1" t="s">
        <v>28</v>
      </c>
      <c r="E100" s="1" t="n">
        <v>38752.8</v>
      </c>
      <c r="F100" s="1" t="n">
        <v>4712</v>
      </c>
      <c r="G100" s="1" t="n">
        <v>0.075</v>
      </c>
      <c r="H100" s="1" t="n">
        <v>15</v>
      </c>
      <c r="I100" s="1" t="n">
        <v>89.7</v>
      </c>
      <c r="K100" s="1" t="n">
        <v>0</v>
      </c>
      <c r="L100" s="1" t="n">
        <v>4.3</v>
      </c>
      <c r="M100" s="1" t="n">
        <v>605775.33</v>
      </c>
      <c r="N100" s="1" t="n">
        <v>107194.6</v>
      </c>
    </row>
    <row r="101" customFormat="false" ht="15" hidden="false" customHeight="true" outlineLevel="0" collapsed="false">
      <c r="A101" s="1" t="s">
        <v>46</v>
      </c>
      <c r="B101" s="3" t="n">
        <v>45748</v>
      </c>
      <c r="C101" s="1" t="s">
        <v>27</v>
      </c>
      <c r="D101" s="1" t="s">
        <v>28</v>
      </c>
      <c r="E101" s="1" t="n">
        <v>55101.1</v>
      </c>
      <c r="F101" s="1" t="n">
        <v>5281</v>
      </c>
      <c r="G101" s="1" t="n">
        <v>0.189</v>
      </c>
      <c r="H101" s="1" t="n">
        <v>11</v>
      </c>
      <c r="I101" s="1" t="n">
        <v>91</v>
      </c>
      <c r="J101" s="1" t="n">
        <v>2.7</v>
      </c>
      <c r="K101" s="1" t="n">
        <v>0</v>
      </c>
      <c r="L101" s="1" t="n">
        <v>4.4</v>
      </c>
      <c r="M101" s="1" t="n">
        <v>675177.68</v>
      </c>
      <c r="N101" s="1" t="n">
        <v>105628.68</v>
      </c>
    </row>
    <row r="102" customFormat="false" ht="15" hidden="false" customHeight="true" outlineLevel="0" collapsed="false">
      <c r="A102" s="1" t="s">
        <v>47</v>
      </c>
      <c r="B102" s="3" t="n">
        <v>45658</v>
      </c>
      <c r="C102" s="1" t="s">
        <v>15</v>
      </c>
      <c r="D102" s="1" t="s">
        <v>28</v>
      </c>
      <c r="E102" s="1" t="n">
        <v>53084.76</v>
      </c>
      <c r="F102" s="1" t="n">
        <v>3642</v>
      </c>
      <c r="G102" s="1" t="n">
        <v>0.15</v>
      </c>
      <c r="H102" s="1" t="n">
        <v>12</v>
      </c>
      <c r="I102" s="1" t="n">
        <v>91.4</v>
      </c>
      <c r="J102" s="1" t="n">
        <v>0.2</v>
      </c>
      <c r="K102" s="1" t="n">
        <v>0</v>
      </c>
      <c r="L102" s="1" t="n">
        <v>4.4</v>
      </c>
      <c r="M102" s="1" t="n">
        <v>635181.35</v>
      </c>
      <c r="N102" s="1" t="n">
        <v>83341.25</v>
      </c>
    </row>
    <row r="103" customFormat="false" ht="15" hidden="false" customHeight="true" outlineLevel="0" collapsed="false">
      <c r="A103" s="1" t="s">
        <v>47</v>
      </c>
      <c r="B103" s="3" t="n">
        <v>45689</v>
      </c>
      <c r="C103" s="1" t="s">
        <v>15</v>
      </c>
      <c r="D103" s="1" t="s">
        <v>28</v>
      </c>
      <c r="E103" s="1" t="n">
        <v>63101.59</v>
      </c>
      <c r="F103" s="1" t="n">
        <v>4373</v>
      </c>
      <c r="G103" s="1" t="n">
        <v>0.173</v>
      </c>
      <c r="H103" s="1" t="n">
        <v>14</v>
      </c>
      <c r="I103" s="1" t="n">
        <v>90.4</v>
      </c>
      <c r="J103" s="1" t="n">
        <v>7.87</v>
      </c>
      <c r="K103" s="1" t="n">
        <v>0</v>
      </c>
      <c r="L103" s="1" t="n">
        <v>4.7</v>
      </c>
      <c r="M103" s="1" t="n">
        <v>586626.94</v>
      </c>
      <c r="N103" s="1" t="n">
        <v>86498.55</v>
      </c>
    </row>
    <row r="104" customFormat="false" ht="15" hidden="false" customHeight="true" outlineLevel="0" collapsed="false">
      <c r="A104" s="1" t="s">
        <v>47</v>
      </c>
      <c r="B104" s="3" t="n">
        <v>45717</v>
      </c>
      <c r="C104" s="1" t="s">
        <v>15</v>
      </c>
      <c r="D104" s="1" t="s">
        <v>28</v>
      </c>
      <c r="E104" s="1" t="n">
        <v>90084.4</v>
      </c>
      <c r="F104" s="1" t="n">
        <v>6832</v>
      </c>
      <c r="G104" s="1" t="n">
        <v>0.185</v>
      </c>
      <c r="H104" s="1" t="n">
        <v>14</v>
      </c>
      <c r="I104" s="1" t="n">
        <v>80.5</v>
      </c>
      <c r="J104" s="1" t="n">
        <v>0.77</v>
      </c>
      <c r="K104" s="1" t="n">
        <v>1</v>
      </c>
      <c r="L104" s="1" t="n">
        <v>4.4</v>
      </c>
      <c r="M104" s="1" t="n">
        <v>740102.64</v>
      </c>
      <c r="N104" s="1" t="n">
        <v>114299.07</v>
      </c>
    </row>
    <row r="105" customFormat="false" ht="15" hidden="false" customHeight="true" outlineLevel="0" collapsed="false">
      <c r="A105" s="1" t="s">
        <v>47</v>
      </c>
      <c r="B105" s="3" t="n">
        <v>45748</v>
      </c>
      <c r="C105" s="1" t="s">
        <v>15</v>
      </c>
      <c r="D105" s="1" t="s">
        <v>28</v>
      </c>
      <c r="E105" s="1" t="n">
        <v>32266.64</v>
      </c>
      <c r="F105" s="1" t="n">
        <v>2414</v>
      </c>
      <c r="G105" s="1" t="n">
        <v>0.08</v>
      </c>
      <c r="H105" s="1" t="n">
        <v>7</v>
      </c>
      <c r="I105" s="1" t="n">
        <v>92.1</v>
      </c>
      <c r="J105" s="1" t="n">
        <v>1.48</v>
      </c>
      <c r="K105" s="1" t="n">
        <v>0</v>
      </c>
      <c r="L105" s="1" t="n">
        <v>5</v>
      </c>
      <c r="M105" s="1" t="n">
        <v>625514.04</v>
      </c>
      <c r="N105" s="1" t="n">
        <v>120685.08</v>
      </c>
    </row>
    <row r="106" customFormat="false" ht="15" hidden="false" customHeight="true" outlineLevel="0" collapsed="false">
      <c r="A106" s="1" t="s">
        <v>48</v>
      </c>
      <c r="B106" s="3" t="n">
        <v>45658</v>
      </c>
      <c r="C106" s="1" t="s">
        <v>27</v>
      </c>
      <c r="D106" s="1" t="s">
        <v>18</v>
      </c>
      <c r="E106" s="1" t="n">
        <v>57919.07</v>
      </c>
      <c r="F106" s="1" t="n">
        <v>7374</v>
      </c>
      <c r="G106" s="1" t="n">
        <v>0.103</v>
      </c>
      <c r="H106" s="1" t="n">
        <v>21</v>
      </c>
      <c r="I106" s="1" t="n">
        <v>82.3</v>
      </c>
      <c r="J106" s="1" t="n">
        <v>2.87</v>
      </c>
      <c r="K106" s="1" t="n">
        <v>0</v>
      </c>
      <c r="L106" s="1" t="n">
        <v>2.9</v>
      </c>
      <c r="M106" s="1" t="n">
        <v>727227.2</v>
      </c>
      <c r="N106" s="1" t="n">
        <v>121292.01</v>
      </c>
    </row>
    <row r="107" customFormat="false" ht="15" hidden="false" customHeight="true" outlineLevel="0" collapsed="false">
      <c r="A107" s="1" t="s">
        <v>48</v>
      </c>
      <c r="B107" s="3" t="n">
        <v>45689</v>
      </c>
      <c r="C107" s="1" t="s">
        <v>27</v>
      </c>
      <c r="D107" s="1" t="s">
        <v>18</v>
      </c>
      <c r="E107" s="1" t="n">
        <v>74679.35</v>
      </c>
      <c r="F107" s="1" t="n">
        <v>8739</v>
      </c>
      <c r="G107" s="1" t="n">
        <v>0.056</v>
      </c>
      <c r="H107" s="1" t="n">
        <v>21</v>
      </c>
      <c r="I107" s="1" t="n">
        <v>91.8</v>
      </c>
      <c r="J107" s="1" t="n">
        <v>2.83</v>
      </c>
      <c r="K107" s="1" t="n">
        <v>0</v>
      </c>
      <c r="L107" s="1" t="n">
        <v>3</v>
      </c>
      <c r="M107" s="1" t="n">
        <v>783797.89</v>
      </c>
      <c r="N107" s="1" t="n">
        <v>157620.7</v>
      </c>
    </row>
    <row r="108" customFormat="false" ht="15" hidden="false" customHeight="true" outlineLevel="0" collapsed="false">
      <c r="A108" s="1" t="s">
        <v>48</v>
      </c>
      <c r="B108" s="3" t="n">
        <v>45717</v>
      </c>
      <c r="C108" s="1" t="s">
        <v>27</v>
      </c>
      <c r="D108" s="1" t="s">
        <v>18</v>
      </c>
      <c r="E108" s="1" t="n">
        <v>64294.23</v>
      </c>
      <c r="F108" s="1" t="n">
        <v>6992</v>
      </c>
      <c r="G108" s="1" t="n">
        <v>0.133</v>
      </c>
      <c r="H108" s="1" t="n">
        <v>14</v>
      </c>
      <c r="I108" s="1" t="n">
        <v>94.1</v>
      </c>
      <c r="J108" s="1" t="n">
        <v>0.25</v>
      </c>
      <c r="K108" s="1" t="n">
        <v>0</v>
      </c>
      <c r="L108" s="1" t="n">
        <v>3</v>
      </c>
      <c r="M108" s="1" t="n">
        <v>795153.84</v>
      </c>
      <c r="N108" s="1" t="n">
        <v>143194.21</v>
      </c>
    </row>
    <row r="109" customFormat="false" ht="15" hidden="false" customHeight="true" outlineLevel="0" collapsed="false">
      <c r="A109" s="1" t="s">
        <v>48</v>
      </c>
      <c r="B109" s="3" t="n">
        <v>45748</v>
      </c>
      <c r="C109" s="1" t="s">
        <v>27</v>
      </c>
      <c r="D109" s="1" t="s">
        <v>18</v>
      </c>
      <c r="E109" s="1" t="n">
        <v>31042.03</v>
      </c>
      <c r="F109" s="1" t="n">
        <v>7107</v>
      </c>
      <c r="G109" s="1" t="n">
        <v>0.051</v>
      </c>
      <c r="H109" s="1" t="n">
        <v>15</v>
      </c>
      <c r="I109" s="1" t="n">
        <v>87</v>
      </c>
      <c r="J109" s="1" t="n">
        <v>13.33</v>
      </c>
      <c r="K109" s="1" t="n">
        <v>0</v>
      </c>
      <c r="L109" s="1" t="n">
        <v>3.2</v>
      </c>
      <c r="M109" s="1" t="n">
        <v>665594.94</v>
      </c>
      <c r="N109" s="1" t="n">
        <v>127597.34</v>
      </c>
    </row>
    <row r="110" customFormat="false" ht="15" hidden="false" customHeight="true" outlineLevel="0" collapsed="false">
      <c r="A110" s="1" t="s">
        <v>49</v>
      </c>
      <c r="B110" s="3" t="n">
        <v>45658</v>
      </c>
      <c r="C110" s="1" t="s">
        <v>15</v>
      </c>
      <c r="D110" s="1" t="s">
        <v>28</v>
      </c>
      <c r="E110" s="1" t="n">
        <v>75265.02</v>
      </c>
      <c r="F110" s="1" t="n">
        <v>6975</v>
      </c>
      <c r="G110" s="1" t="n">
        <v>0.157</v>
      </c>
      <c r="H110" s="1" t="n">
        <v>20</v>
      </c>
      <c r="I110" s="1" t="n">
        <v>73.8</v>
      </c>
      <c r="J110" s="1" t="n">
        <v>6.35</v>
      </c>
      <c r="K110" s="1" t="n">
        <v>1</v>
      </c>
      <c r="L110" s="1" t="n">
        <v>3.8</v>
      </c>
      <c r="M110" s="1" t="n">
        <v>709478.39</v>
      </c>
      <c r="N110" s="1" t="n">
        <v>71294.27</v>
      </c>
    </row>
    <row r="111" customFormat="false" ht="15" hidden="false" customHeight="true" outlineLevel="0" collapsed="false">
      <c r="A111" s="1" t="s">
        <v>49</v>
      </c>
      <c r="B111" s="3" t="n">
        <v>45689</v>
      </c>
      <c r="C111" s="1" t="s">
        <v>15</v>
      </c>
      <c r="D111" s="1" t="s">
        <v>28</v>
      </c>
      <c r="E111" s="1" t="n">
        <v>69411.7</v>
      </c>
      <c r="F111" s="1" t="n">
        <v>5493</v>
      </c>
      <c r="G111" s="1" t="n">
        <v>0.292</v>
      </c>
      <c r="H111" s="1" t="n">
        <v>13</v>
      </c>
      <c r="I111" s="1" t="n">
        <v>86.5</v>
      </c>
      <c r="J111" s="1" t="n">
        <v>6.69</v>
      </c>
      <c r="K111" s="1" t="n">
        <v>0</v>
      </c>
      <c r="L111" s="1" t="n">
        <v>3.8</v>
      </c>
      <c r="M111" s="1" t="n">
        <v>664162.49</v>
      </c>
      <c r="N111" s="1" t="n">
        <v>98291.06</v>
      </c>
    </row>
    <row r="112" customFormat="false" ht="15" hidden="false" customHeight="true" outlineLevel="0" collapsed="false">
      <c r="A112" s="1" t="s">
        <v>49</v>
      </c>
      <c r="B112" s="3" t="n">
        <v>45717</v>
      </c>
      <c r="C112" s="1" t="s">
        <v>15</v>
      </c>
      <c r="D112" s="1" t="s">
        <v>28</v>
      </c>
      <c r="E112" s="1" t="n">
        <v>51056.15</v>
      </c>
      <c r="F112" s="1" t="n">
        <v>5686</v>
      </c>
      <c r="G112" s="1" t="n">
        <v>0.089</v>
      </c>
      <c r="H112" s="1" t="n">
        <v>13</v>
      </c>
      <c r="I112" s="1" t="n">
        <v>89.9</v>
      </c>
      <c r="J112" s="1" t="n">
        <v>1.28</v>
      </c>
      <c r="K112" s="1" t="n">
        <v>0</v>
      </c>
      <c r="L112" s="1" t="n">
        <v>4.2</v>
      </c>
      <c r="M112" s="1" t="n">
        <v>633494.21</v>
      </c>
      <c r="N112" s="1" t="n">
        <v>105739.47</v>
      </c>
    </row>
    <row r="113" customFormat="false" ht="15" hidden="false" customHeight="true" outlineLevel="0" collapsed="false">
      <c r="A113" s="1" t="s">
        <v>49</v>
      </c>
      <c r="B113" s="3" t="n">
        <v>45748</v>
      </c>
      <c r="C113" s="1" t="s">
        <v>15</v>
      </c>
      <c r="D113" s="1" t="s">
        <v>28</v>
      </c>
      <c r="E113" s="1" t="n">
        <v>52758.01</v>
      </c>
      <c r="F113" s="1" t="n">
        <v>4063</v>
      </c>
      <c r="G113" s="1" t="n">
        <v>0.057</v>
      </c>
      <c r="H113" s="1" t="n">
        <v>12</v>
      </c>
      <c r="I113" s="1" t="n">
        <v>91.7</v>
      </c>
      <c r="J113" s="1" t="n">
        <v>0.92</v>
      </c>
      <c r="K113" s="1" t="n">
        <v>0</v>
      </c>
      <c r="L113" s="1" t="n">
        <v>3.5</v>
      </c>
      <c r="M113" s="1" t="n">
        <v>713611.16</v>
      </c>
      <c r="N113" s="1" t="n">
        <v>129717.18</v>
      </c>
    </row>
    <row r="114" customFormat="false" ht="15" hidden="false" customHeight="true" outlineLevel="0" collapsed="false">
      <c r="A114" s="1" t="s">
        <v>50</v>
      </c>
      <c r="B114" s="3" t="n">
        <v>45658</v>
      </c>
      <c r="C114" s="1" t="s">
        <v>27</v>
      </c>
      <c r="D114" s="1" t="s">
        <v>28</v>
      </c>
      <c r="E114" s="1" t="n">
        <v>61426.04</v>
      </c>
      <c r="F114" s="1" t="n">
        <v>8966</v>
      </c>
      <c r="G114" s="1" t="n">
        <v>0.173</v>
      </c>
      <c r="H114" s="1" t="n">
        <v>22</v>
      </c>
      <c r="I114" s="1" t="n">
        <v>76.4</v>
      </c>
      <c r="J114" s="1" t="n">
        <v>1.05</v>
      </c>
      <c r="K114" s="1" t="n">
        <v>0</v>
      </c>
      <c r="L114" s="1" t="n">
        <v>3.1</v>
      </c>
      <c r="M114" s="1" t="n">
        <v>778397.97</v>
      </c>
      <c r="N114" s="1" t="n">
        <v>120044.41</v>
      </c>
    </row>
    <row r="115" customFormat="false" ht="15" hidden="false" customHeight="true" outlineLevel="0" collapsed="false">
      <c r="A115" s="1" t="s">
        <v>50</v>
      </c>
      <c r="B115" s="3" t="n">
        <v>45689</v>
      </c>
      <c r="C115" s="1" t="s">
        <v>27</v>
      </c>
      <c r="D115" s="1" t="s">
        <v>28</v>
      </c>
      <c r="E115" s="1" t="n">
        <v>80176.34</v>
      </c>
      <c r="F115" s="1" t="n">
        <v>9489</v>
      </c>
      <c r="G115" s="1" t="n">
        <v>0.142</v>
      </c>
      <c r="H115" s="1" t="n">
        <v>22</v>
      </c>
      <c r="I115" s="1" t="n">
        <v>94.3</v>
      </c>
      <c r="J115" s="1" t="n">
        <v>2.67</v>
      </c>
      <c r="K115" s="1" t="n">
        <v>0</v>
      </c>
      <c r="L115" s="1" t="n">
        <v>3.5</v>
      </c>
      <c r="M115" s="1" t="n">
        <v>873380.02</v>
      </c>
      <c r="N115" s="1" t="n">
        <v>149734.76</v>
      </c>
    </row>
    <row r="116" customFormat="false" ht="15" hidden="false" customHeight="true" outlineLevel="0" collapsed="false">
      <c r="A116" s="1" t="s">
        <v>50</v>
      </c>
      <c r="B116" s="3" t="n">
        <v>45717</v>
      </c>
      <c r="C116" s="1" t="s">
        <v>27</v>
      </c>
      <c r="D116" s="1" t="s">
        <v>28</v>
      </c>
      <c r="E116" s="1" t="n">
        <v>33605.18</v>
      </c>
      <c r="F116" s="1" t="n">
        <v>9225</v>
      </c>
      <c r="G116" s="1" t="n">
        <v>0.159</v>
      </c>
      <c r="H116" s="1" t="n">
        <v>23</v>
      </c>
      <c r="I116" s="1" t="n">
        <v>88.4</v>
      </c>
      <c r="J116" s="1" t="n">
        <v>5.91</v>
      </c>
      <c r="K116" s="1" t="n">
        <v>0</v>
      </c>
      <c r="L116" s="1" t="n">
        <v>2.8</v>
      </c>
      <c r="M116" s="1" t="n">
        <v>697287.9</v>
      </c>
      <c r="N116" s="1" t="n">
        <v>128208.33</v>
      </c>
    </row>
    <row r="117" customFormat="false" ht="15" hidden="false" customHeight="true" outlineLevel="0" collapsed="false">
      <c r="A117" s="1" t="s">
        <v>50</v>
      </c>
      <c r="B117" s="3" t="n">
        <v>45748</v>
      </c>
      <c r="C117" s="1" t="s">
        <v>27</v>
      </c>
      <c r="D117" s="1" t="s">
        <v>28</v>
      </c>
      <c r="E117" s="1" t="n">
        <v>25990.54</v>
      </c>
      <c r="F117" s="1" t="n">
        <v>9249</v>
      </c>
      <c r="G117" s="1" t="n">
        <v>0.139</v>
      </c>
      <c r="H117" s="1" t="n">
        <v>23</v>
      </c>
      <c r="I117" s="1" t="n">
        <v>92.5</v>
      </c>
      <c r="J117" s="1" t="n">
        <v>6.37</v>
      </c>
      <c r="K117" s="1" t="n">
        <v>0</v>
      </c>
      <c r="L117" s="1" t="n">
        <v>3.3</v>
      </c>
      <c r="M117" s="1" t="n">
        <v>718074.79</v>
      </c>
      <c r="N117" s="1" t="n">
        <v>115819.87</v>
      </c>
    </row>
    <row r="118" customFormat="false" ht="15" hidden="false" customHeight="true" outlineLevel="0" collapsed="false">
      <c r="A118" s="1" t="s">
        <v>51</v>
      </c>
      <c r="B118" s="3" t="n">
        <v>45658</v>
      </c>
      <c r="C118" s="1" t="s">
        <v>27</v>
      </c>
      <c r="D118" s="1" t="s">
        <v>16</v>
      </c>
      <c r="E118" s="1" t="n">
        <v>43685.14</v>
      </c>
      <c r="F118" s="1" t="n">
        <v>7821</v>
      </c>
      <c r="G118" s="1" t="n">
        <v>0.19</v>
      </c>
      <c r="H118" s="1" t="n">
        <v>17</v>
      </c>
      <c r="I118" s="1" t="n">
        <v>91</v>
      </c>
      <c r="J118" s="1" t="n">
        <v>2.49</v>
      </c>
      <c r="K118" s="1" t="n">
        <v>1</v>
      </c>
      <c r="L118" s="1" t="n">
        <v>4.7</v>
      </c>
      <c r="M118" s="1" t="n">
        <v>714942.43</v>
      </c>
      <c r="N118" s="1" t="n">
        <v>94697.71</v>
      </c>
    </row>
    <row r="119" customFormat="false" ht="15" hidden="false" customHeight="true" outlineLevel="0" collapsed="false">
      <c r="A119" s="1" t="s">
        <v>51</v>
      </c>
      <c r="B119" s="3" t="n">
        <v>45689</v>
      </c>
      <c r="C119" s="1" t="s">
        <v>27</v>
      </c>
      <c r="D119" s="1" t="s">
        <v>16</v>
      </c>
      <c r="E119" s="1" t="n">
        <v>57360.01</v>
      </c>
      <c r="F119" s="1" t="n">
        <v>8434</v>
      </c>
      <c r="G119" s="1" t="n">
        <v>0.151</v>
      </c>
      <c r="H119" s="1" t="n">
        <v>19</v>
      </c>
      <c r="I119" s="1" t="n">
        <v>84.1</v>
      </c>
      <c r="J119" s="1" t="n">
        <v>1.56</v>
      </c>
      <c r="K119" s="1" t="n">
        <v>0</v>
      </c>
      <c r="L119" s="1" t="n">
        <v>4.7</v>
      </c>
      <c r="M119" s="1" t="n">
        <v>820519.04</v>
      </c>
      <c r="N119" s="1" t="n">
        <v>99035.88</v>
      </c>
    </row>
    <row r="120" customFormat="false" ht="15" hidden="false" customHeight="true" outlineLevel="0" collapsed="false">
      <c r="A120" s="1" t="s">
        <v>51</v>
      </c>
      <c r="B120" s="3" t="n">
        <v>45717</v>
      </c>
      <c r="C120" s="1" t="s">
        <v>27</v>
      </c>
      <c r="D120" s="1" t="s">
        <v>16</v>
      </c>
      <c r="E120" s="1" t="n">
        <v>42415.47</v>
      </c>
      <c r="F120" s="1" t="n">
        <v>8512</v>
      </c>
      <c r="G120" s="1" t="n">
        <v>0.133</v>
      </c>
      <c r="H120" s="1" t="n">
        <v>18</v>
      </c>
      <c r="I120" s="1" t="n">
        <v>96.8</v>
      </c>
      <c r="J120" s="1" t="n">
        <v>14.95</v>
      </c>
      <c r="K120" s="1" t="n">
        <v>0</v>
      </c>
      <c r="L120" s="1" t="n">
        <v>4.6</v>
      </c>
      <c r="M120" s="1" t="n">
        <v>684217.32</v>
      </c>
      <c r="N120" s="1" t="n">
        <v>136217.19</v>
      </c>
    </row>
    <row r="121" customFormat="false" ht="15" hidden="false" customHeight="true" outlineLevel="0" collapsed="false">
      <c r="A121" s="1" t="s">
        <v>51</v>
      </c>
      <c r="B121" s="3" t="n">
        <v>45748</v>
      </c>
      <c r="C121" s="1" t="s">
        <v>27</v>
      </c>
      <c r="D121" s="1" t="s">
        <v>16</v>
      </c>
      <c r="E121" s="1" t="n">
        <v>54968.98</v>
      </c>
      <c r="F121" s="1" t="n">
        <v>7816</v>
      </c>
      <c r="G121" s="1" t="n">
        <v>0.232</v>
      </c>
      <c r="H121" s="1" t="n">
        <v>19</v>
      </c>
      <c r="I121" s="1" t="n">
        <v>95.7</v>
      </c>
      <c r="J121" s="1" t="n">
        <v>7.85</v>
      </c>
      <c r="K121" s="1" t="n">
        <v>0</v>
      </c>
      <c r="L121" s="1" t="n">
        <v>4.7</v>
      </c>
      <c r="M121" s="1" t="n">
        <v>735480.19</v>
      </c>
      <c r="N121" s="1" t="n">
        <v>88342.11</v>
      </c>
    </row>
    <row r="122" customFormat="false" ht="15" hidden="false" customHeight="true" outlineLevel="0" collapsed="false">
      <c r="A122" s="1" t="s">
        <v>52</v>
      </c>
      <c r="B122" s="3" t="n">
        <v>45658</v>
      </c>
      <c r="C122" s="1" t="s">
        <v>20</v>
      </c>
      <c r="D122" s="1" t="s">
        <v>18</v>
      </c>
      <c r="E122" s="1" t="n">
        <v>43896.13</v>
      </c>
      <c r="F122" s="1" t="n">
        <v>3853</v>
      </c>
      <c r="G122" s="1" t="n">
        <v>0.088</v>
      </c>
      <c r="H122" s="1" t="n">
        <v>13</v>
      </c>
      <c r="I122" s="1" t="n">
        <v>83</v>
      </c>
      <c r="J122" s="1" t="n">
        <v>6.8</v>
      </c>
      <c r="K122" s="1" t="n">
        <v>0</v>
      </c>
      <c r="L122" s="1" t="n">
        <v>4.4</v>
      </c>
      <c r="M122" s="1" t="n">
        <v>509484.81</v>
      </c>
      <c r="N122" s="1" t="n">
        <v>85742.36</v>
      </c>
    </row>
    <row r="123" customFormat="false" ht="15" hidden="false" customHeight="true" outlineLevel="0" collapsed="false">
      <c r="A123" s="1" t="s">
        <v>52</v>
      </c>
      <c r="B123" s="3" t="n">
        <v>45689</v>
      </c>
      <c r="C123" s="1" t="s">
        <v>20</v>
      </c>
      <c r="D123" s="1" t="s">
        <v>18</v>
      </c>
      <c r="E123" s="1" t="n">
        <v>83044.17</v>
      </c>
      <c r="F123" s="1" t="n">
        <v>3694</v>
      </c>
      <c r="G123" s="1" t="n">
        <v>0</v>
      </c>
      <c r="H123" s="1" t="n">
        <v>14</v>
      </c>
      <c r="I123" s="1" t="n">
        <v>89.4</v>
      </c>
      <c r="J123" s="1" t="n">
        <v>2.2</v>
      </c>
      <c r="K123" s="1" t="n">
        <v>0</v>
      </c>
      <c r="L123" s="1" t="n">
        <v>3.7</v>
      </c>
      <c r="M123" s="1" t="n">
        <v>654317.09</v>
      </c>
      <c r="N123" s="1" t="n">
        <v>121446.89</v>
      </c>
    </row>
    <row r="124" customFormat="false" ht="15" hidden="false" customHeight="true" outlineLevel="0" collapsed="false">
      <c r="A124" s="1" t="s">
        <v>52</v>
      </c>
      <c r="B124" s="3" t="n">
        <v>45717</v>
      </c>
      <c r="C124" s="1" t="s">
        <v>20</v>
      </c>
      <c r="D124" s="1" t="s">
        <v>18</v>
      </c>
      <c r="E124" s="1" t="n">
        <v>48396.13</v>
      </c>
      <c r="F124" s="1" t="n">
        <v>4423</v>
      </c>
      <c r="G124" s="1" t="n">
        <v>0.069</v>
      </c>
      <c r="H124" s="1" t="n">
        <v>15</v>
      </c>
      <c r="I124" s="1" t="n">
        <v>85.7</v>
      </c>
      <c r="J124" s="1" t="n">
        <v>1.88</v>
      </c>
      <c r="K124" s="1" t="n">
        <v>0</v>
      </c>
      <c r="L124" s="1" t="n">
        <v>3.9</v>
      </c>
      <c r="M124" s="1" t="n">
        <v>557487.26</v>
      </c>
      <c r="N124" s="1" t="n">
        <v>76432.19</v>
      </c>
    </row>
    <row r="125" customFormat="false" ht="15" hidden="false" customHeight="true" outlineLevel="0" collapsed="false">
      <c r="A125" s="1" t="s">
        <v>52</v>
      </c>
      <c r="B125" s="3" t="n">
        <v>45748</v>
      </c>
      <c r="C125" s="1" t="s">
        <v>20</v>
      </c>
      <c r="D125" s="1" t="s">
        <v>18</v>
      </c>
      <c r="E125" s="1" t="n">
        <v>19063.48</v>
      </c>
      <c r="F125" s="1" t="n">
        <v>1906</v>
      </c>
      <c r="G125" s="1" t="n">
        <v>0.216</v>
      </c>
      <c r="H125" s="1" t="n">
        <v>10</v>
      </c>
      <c r="I125" s="1" t="n">
        <v>97.8</v>
      </c>
      <c r="J125" s="1" t="n">
        <v>15.79</v>
      </c>
      <c r="K125" s="1" t="n">
        <v>0</v>
      </c>
      <c r="L125" s="1" t="n">
        <v>4.4</v>
      </c>
      <c r="M125" s="1" t="n">
        <v>441275.42</v>
      </c>
      <c r="N125" s="1" t="n">
        <v>58234.87</v>
      </c>
    </row>
    <row r="126" customFormat="false" ht="15" hidden="false" customHeight="true" outlineLevel="0" collapsed="false">
      <c r="A126" s="1" t="s">
        <v>53</v>
      </c>
      <c r="B126" s="3" t="n">
        <v>45658</v>
      </c>
      <c r="C126" s="1" t="s">
        <v>24</v>
      </c>
      <c r="D126" s="1" t="s">
        <v>18</v>
      </c>
      <c r="E126" s="1" t="n">
        <v>61541.21</v>
      </c>
      <c r="F126" s="1" t="n">
        <v>10396</v>
      </c>
      <c r="G126" s="1" t="n">
        <v>0.123</v>
      </c>
      <c r="H126" s="1" t="n">
        <v>25</v>
      </c>
      <c r="I126" s="1" t="n">
        <v>88.1</v>
      </c>
      <c r="J126" s="1" t="n">
        <v>2.34</v>
      </c>
      <c r="K126" s="1" t="n">
        <v>1</v>
      </c>
      <c r="L126" s="1" t="n">
        <v>4.8</v>
      </c>
      <c r="M126" s="1" t="n">
        <v>914544.17</v>
      </c>
      <c r="N126" s="1" t="n">
        <v>79831.73</v>
      </c>
    </row>
    <row r="127" customFormat="false" ht="15" hidden="false" customHeight="true" outlineLevel="0" collapsed="false">
      <c r="A127" s="1" t="s">
        <v>53</v>
      </c>
      <c r="B127" s="3" t="n">
        <v>45689</v>
      </c>
      <c r="C127" s="1" t="s">
        <v>24</v>
      </c>
      <c r="D127" s="1" t="s">
        <v>18</v>
      </c>
      <c r="E127" s="1" t="n">
        <v>44747</v>
      </c>
      <c r="F127" s="1" t="n">
        <v>11076</v>
      </c>
      <c r="G127" s="1" t="n">
        <v>0.176</v>
      </c>
      <c r="H127" s="1" t="n">
        <v>27</v>
      </c>
      <c r="I127" s="1" t="n">
        <v>98.3</v>
      </c>
      <c r="J127" s="1" t="n">
        <v>0.54</v>
      </c>
      <c r="K127" s="1" t="n">
        <v>0</v>
      </c>
      <c r="L127" s="1" t="n">
        <v>4.4</v>
      </c>
      <c r="M127" s="1" t="n">
        <v>842439.67</v>
      </c>
      <c r="N127" s="1" t="n">
        <v>169983.63</v>
      </c>
    </row>
    <row r="128" customFormat="false" ht="15" hidden="false" customHeight="true" outlineLevel="0" collapsed="false">
      <c r="A128" s="1" t="s">
        <v>53</v>
      </c>
      <c r="B128" s="3" t="n">
        <v>45717</v>
      </c>
      <c r="C128" s="1" t="s">
        <v>24</v>
      </c>
      <c r="D128" s="1" t="s">
        <v>18</v>
      </c>
      <c r="E128" s="1" t="n">
        <v>56517.9</v>
      </c>
      <c r="F128" s="1" t="n">
        <v>9574</v>
      </c>
      <c r="G128" s="1" t="n">
        <v>0.204</v>
      </c>
      <c r="H128" s="1" t="n">
        <v>20</v>
      </c>
      <c r="I128" s="1" t="n">
        <v>88.2</v>
      </c>
      <c r="J128" s="1" t="n">
        <v>5.37</v>
      </c>
      <c r="K128" s="1" t="n">
        <v>1</v>
      </c>
      <c r="L128" s="1" t="n">
        <v>4.9</v>
      </c>
      <c r="M128" s="1" t="n">
        <v>842157.92</v>
      </c>
      <c r="N128" s="1" t="n">
        <v>107348.22</v>
      </c>
    </row>
    <row r="129" customFormat="false" ht="15" hidden="false" customHeight="true" outlineLevel="0" collapsed="false">
      <c r="A129" s="1" t="s">
        <v>53</v>
      </c>
      <c r="B129" s="3" t="n">
        <v>45748</v>
      </c>
      <c r="C129" s="1" t="s">
        <v>24</v>
      </c>
      <c r="D129" s="1" t="s">
        <v>18</v>
      </c>
      <c r="E129" s="1" t="n">
        <v>37828.5</v>
      </c>
      <c r="F129" s="1" t="n">
        <v>8221</v>
      </c>
      <c r="G129" s="1" t="n">
        <v>0.096</v>
      </c>
      <c r="H129" s="1" t="n">
        <v>19</v>
      </c>
      <c r="I129" s="1" t="n">
        <v>81.5</v>
      </c>
      <c r="J129" s="1" t="n">
        <v>3.19</v>
      </c>
      <c r="K129" s="1" t="n">
        <v>0</v>
      </c>
      <c r="L129" s="1" t="n">
        <v>4.8</v>
      </c>
      <c r="M129" s="1" t="n">
        <v>697155.3</v>
      </c>
      <c r="N129" s="1" t="n">
        <v>136408.54</v>
      </c>
    </row>
    <row r="130" customFormat="false" ht="15" hidden="false" customHeight="true" outlineLevel="0" collapsed="false">
      <c r="A130" s="1" t="s">
        <v>54</v>
      </c>
      <c r="B130" s="3" t="n">
        <v>45658</v>
      </c>
      <c r="C130" s="1" t="s">
        <v>15</v>
      </c>
      <c r="D130" s="1" t="s">
        <v>18</v>
      </c>
      <c r="E130" s="1" t="n">
        <v>66250.53</v>
      </c>
      <c r="F130" s="1" t="n">
        <v>10618</v>
      </c>
      <c r="G130" s="1" t="n">
        <v>0.142</v>
      </c>
      <c r="H130" s="1" t="n">
        <v>27</v>
      </c>
      <c r="I130" s="1" t="n">
        <v>88.3</v>
      </c>
      <c r="J130" s="1" t="n">
        <v>1.1</v>
      </c>
      <c r="K130" s="1" t="n">
        <v>1</v>
      </c>
      <c r="L130" s="1" t="n">
        <v>4.4</v>
      </c>
      <c r="M130" s="1" t="n">
        <v>849018.3</v>
      </c>
      <c r="N130" s="1" t="n">
        <v>149035.13</v>
      </c>
    </row>
    <row r="131" customFormat="false" ht="15" hidden="false" customHeight="true" outlineLevel="0" collapsed="false">
      <c r="A131" s="1" t="s">
        <v>54</v>
      </c>
      <c r="B131" s="3" t="n">
        <v>45689</v>
      </c>
      <c r="C131" s="1" t="s">
        <v>15</v>
      </c>
      <c r="D131" s="1" t="s">
        <v>18</v>
      </c>
      <c r="E131" s="1" t="n">
        <v>68410.93</v>
      </c>
      <c r="F131" s="1" t="n">
        <v>10596</v>
      </c>
      <c r="G131" s="1" t="n">
        <v>0.207</v>
      </c>
      <c r="H131" s="1" t="n">
        <v>25</v>
      </c>
      <c r="I131" s="1" t="n">
        <v>81.2</v>
      </c>
      <c r="J131" s="1" t="n">
        <v>0.21</v>
      </c>
      <c r="K131" s="1" t="n">
        <v>0</v>
      </c>
      <c r="L131" s="1" t="n">
        <v>4</v>
      </c>
      <c r="M131" s="1" t="n">
        <v>801830.35</v>
      </c>
      <c r="N131" s="1" t="n">
        <v>114875.32</v>
      </c>
    </row>
    <row r="132" customFormat="false" ht="15" hidden="false" customHeight="true" outlineLevel="0" collapsed="false">
      <c r="A132" s="1" t="s">
        <v>54</v>
      </c>
      <c r="B132" s="3" t="n">
        <v>45717</v>
      </c>
      <c r="C132" s="1" t="s">
        <v>15</v>
      </c>
      <c r="D132" s="1" t="s">
        <v>18</v>
      </c>
      <c r="E132" s="1" t="n">
        <v>50735.63</v>
      </c>
      <c r="F132" s="1" t="n">
        <v>9619</v>
      </c>
      <c r="G132" s="1" t="n">
        <v>0.144</v>
      </c>
      <c r="H132" s="1" t="n">
        <v>19</v>
      </c>
      <c r="I132" s="1" t="n">
        <v>93.8</v>
      </c>
      <c r="J132" s="1" t="n">
        <v>5.12</v>
      </c>
      <c r="K132" s="1" t="n">
        <v>1</v>
      </c>
      <c r="L132" s="1" t="n">
        <v>4.5</v>
      </c>
      <c r="M132" s="1" t="n">
        <v>725235.28</v>
      </c>
      <c r="N132" s="1" t="n">
        <v>121632.24</v>
      </c>
    </row>
    <row r="133" customFormat="false" ht="15" hidden="false" customHeight="true" outlineLevel="0" collapsed="false">
      <c r="A133" s="1" t="s">
        <v>54</v>
      </c>
      <c r="B133" s="3" t="n">
        <v>45748</v>
      </c>
      <c r="C133" s="1" t="s">
        <v>15</v>
      </c>
      <c r="D133" s="1" t="s">
        <v>18</v>
      </c>
      <c r="E133" s="1" t="n">
        <v>66455.8</v>
      </c>
      <c r="F133" s="1" t="n">
        <v>10836</v>
      </c>
      <c r="G133" s="1" t="n">
        <v>0.089</v>
      </c>
      <c r="H133" s="1" t="n">
        <v>25</v>
      </c>
      <c r="I133" s="1" t="n">
        <v>85</v>
      </c>
      <c r="J133" s="1" t="n">
        <v>9.77</v>
      </c>
      <c r="K133" s="1" t="n">
        <v>0</v>
      </c>
      <c r="L133" s="1" t="n">
        <v>4.5</v>
      </c>
      <c r="M133" s="1" t="n">
        <v>811452.72</v>
      </c>
      <c r="N133" s="1" t="n">
        <v>131325.67</v>
      </c>
    </row>
    <row r="134" customFormat="false" ht="15" hidden="false" customHeight="true" outlineLevel="0" collapsed="false">
      <c r="A134" s="1" t="s">
        <v>55</v>
      </c>
      <c r="B134" s="3" t="n">
        <v>45658</v>
      </c>
      <c r="C134" s="1" t="s">
        <v>20</v>
      </c>
      <c r="D134" s="1" t="s">
        <v>18</v>
      </c>
      <c r="E134" s="1" t="n">
        <v>70276.28</v>
      </c>
      <c r="F134" s="1" t="n">
        <v>3043</v>
      </c>
      <c r="G134" s="1" t="n">
        <v>0.079</v>
      </c>
      <c r="H134" s="1" t="n">
        <v>9</v>
      </c>
      <c r="I134" s="1" t="n">
        <v>87.9</v>
      </c>
      <c r="J134" s="1" t="n">
        <v>3.77</v>
      </c>
      <c r="K134" s="1" t="n">
        <v>0</v>
      </c>
      <c r="L134" s="1" t="n">
        <v>4.4</v>
      </c>
      <c r="M134" s="1" t="n">
        <v>527300.13</v>
      </c>
      <c r="N134" s="1" t="n">
        <v>84197.87</v>
      </c>
    </row>
    <row r="135" customFormat="false" ht="15" hidden="false" customHeight="true" outlineLevel="0" collapsed="false">
      <c r="A135" s="1" t="s">
        <v>55</v>
      </c>
      <c r="B135" s="3" t="n">
        <v>45689</v>
      </c>
      <c r="C135" s="1" t="s">
        <v>20</v>
      </c>
      <c r="D135" s="1" t="s">
        <v>18</v>
      </c>
      <c r="E135" s="1" t="n">
        <v>22071.64</v>
      </c>
      <c r="F135" s="1" t="n">
        <v>1814</v>
      </c>
      <c r="G135" s="1" t="n">
        <v>0.196</v>
      </c>
      <c r="H135" s="1" t="n">
        <v>8</v>
      </c>
      <c r="I135" s="1" t="n">
        <v>81.1</v>
      </c>
      <c r="J135" s="1" t="n">
        <v>0.78</v>
      </c>
      <c r="K135" s="1" t="n">
        <v>0</v>
      </c>
      <c r="M135" s="1" t="n">
        <v>400831.65</v>
      </c>
      <c r="N135" s="1" t="n">
        <v>70979.31</v>
      </c>
    </row>
    <row r="136" customFormat="false" ht="15" hidden="false" customHeight="true" outlineLevel="0" collapsed="false">
      <c r="A136" s="1" t="s">
        <v>55</v>
      </c>
      <c r="B136" s="3" t="n">
        <v>45717</v>
      </c>
      <c r="C136" s="1" t="s">
        <v>20</v>
      </c>
      <c r="D136" s="1" t="s">
        <v>18</v>
      </c>
      <c r="E136" s="1" t="n">
        <v>52285.45</v>
      </c>
      <c r="F136" s="1" t="n">
        <v>3618</v>
      </c>
      <c r="G136" s="1" t="n">
        <v>0.086</v>
      </c>
      <c r="H136" s="1" t="n">
        <v>11</v>
      </c>
      <c r="I136" s="1" t="n">
        <v>95.6</v>
      </c>
      <c r="J136" s="1" t="n">
        <v>5.17</v>
      </c>
      <c r="K136" s="1" t="n">
        <v>1</v>
      </c>
      <c r="L136" s="1" t="n">
        <v>4.4</v>
      </c>
      <c r="M136" s="1" t="n">
        <v>593247.25</v>
      </c>
      <c r="N136" s="1" t="n">
        <v>81240.29</v>
      </c>
    </row>
    <row r="137" customFormat="false" ht="15" hidden="false" customHeight="true" outlineLevel="0" collapsed="false">
      <c r="A137" s="1" t="s">
        <v>55</v>
      </c>
      <c r="B137" s="3" t="n">
        <v>45748</v>
      </c>
      <c r="C137" s="1" t="s">
        <v>20</v>
      </c>
      <c r="D137" s="1" t="s">
        <v>18</v>
      </c>
      <c r="E137" s="1" t="n">
        <v>70366.76</v>
      </c>
      <c r="F137" s="1" t="n">
        <v>1963</v>
      </c>
      <c r="G137" s="1" t="n">
        <v>0.182</v>
      </c>
      <c r="H137" s="1" t="n">
        <v>8</v>
      </c>
      <c r="I137" s="1" t="n">
        <v>89.8</v>
      </c>
      <c r="J137" s="1" t="n">
        <v>3.2</v>
      </c>
      <c r="K137" s="1" t="n">
        <v>0</v>
      </c>
      <c r="L137" s="1" t="n">
        <v>4.6</v>
      </c>
      <c r="M137" s="1" t="n">
        <v>529075.95</v>
      </c>
      <c r="N137" s="1" t="n">
        <v>95978.83</v>
      </c>
    </row>
    <row r="138" customFormat="false" ht="15" hidden="false" customHeight="true" outlineLevel="0" collapsed="false">
      <c r="A138" s="1" t="s">
        <v>56</v>
      </c>
      <c r="B138" s="3" t="n">
        <v>45658</v>
      </c>
      <c r="C138" s="1" t="s">
        <v>24</v>
      </c>
      <c r="D138" s="1" t="s">
        <v>16</v>
      </c>
      <c r="E138" s="1" t="n">
        <v>71320.66</v>
      </c>
      <c r="F138" s="1" t="n">
        <v>7888</v>
      </c>
      <c r="G138" s="1" t="n">
        <v>0.048</v>
      </c>
      <c r="H138" s="1" t="n">
        <v>20</v>
      </c>
      <c r="I138" s="1" t="n">
        <v>78.1</v>
      </c>
      <c r="J138" s="1" t="n">
        <v>3.4</v>
      </c>
      <c r="K138" s="1" t="n">
        <v>0</v>
      </c>
      <c r="M138" s="1" t="n">
        <v>633638.03</v>
      </c>
      <c r="N138" s="1" t="n">
        <v>99402.01</v>
      </c>
    </row>
    <row r="139" customFormat="false" ht="15" hidden="false" customHeight="true" outlineLevel="0" collapsed="false">
      <c r="A139" s="1" t="s">
        <v>56</v>
      </c>
      <c r="B139" s="3" t="n">
        <v>45689</v>
      </c>
      <c r="C139" s="1" t="s">
        <v>24</v>
      </c>
      <c r="D139" s="1" t="s">
        <v>16</v>
      </c>
      <c r="E139" s="1" t="n">
        <v>75109.67</v>
      </c>
      <c r="F139" s="1" t="n">
        <v>6244</v>
      </c>
      <c r="G139" s="1" t="n">
        <v>0.079</v>
      </c>
      <c r="H139" s="1" t="n">
        <v>15</v>
      </c>
      <c r="I139" s="1" t="n">
        <v>96.3</v>
      </c>
      <c r="J139" s="1" t="n">
        <v>7.38</v>
      </c>
      <c r="K139" s="1" t="n">
        <v>0</v>
      </c>
      <c r="L139" s="1" t="n">
        <v>3.7</v>
      </c>
      <c r="M139" s="1" t="n">
        <v>743348.84</v>
      </c>
      <c r="N139" s="1" t="n">
        <v>104186.09</v>
      </c>
    </row>
    <row r="140" customFormat="false" ht="15" hidden="false" customHeight="true" outlineLevel="0" collapsed="false">
      <c r="A140" s="1" t="s">
        <v>56</v>
      </c>
      <c r="B140" s="3" t="n">
        <v>45717</v>
      </c>
      <c r="C140" s="1" t="s">
        <v>24</v>
      </c>
      <c r="D140" s="1" t="s">
        <v>16</v>
      </c>
      <c r="E140" s="1" t="n">
        <v>69779</v>
      </c>
      <c r="F140" s="1" t="n">
        <v>6544</v>
      </c>
      <c r="G140" s="1" t="n">
        <v>0.152</v>
      </c>
      <c r="H140" s="1" t="n">
        <v>18</v>
      </c>
      <c r="I140" s="1" t="n">
        <v>90.2</v>
      </c>
      <c r="J140" s="1" t="n">
        <v>0.85</v>
      </c>
      <c r="K140" s="1" t="n">
        <v>1</v>
      </c>
      <c r="L140" s="1" t="n">
        <v>3.3</v>
      </c>
      <c r="M140" s="1" t="n">
        <v>758827.64</v>
      </c>
      <c r="N140" s="1" t="n">
        <v>161439.48</v>
      </c>
    </row>
    <row r="141" customFormat="false" ht="15" hidden="false" customHeight="true" outlineLevel="0" collapsed="false">
      <c r="A141" s="1" t="s">
        <v>56</v>
      </c>
      <c r="B141" s="3" t="n">
        <v>45748</v>
      </c>
      <c r="C141" s="1" t="s">
        <v>24</v>
      </c>
      <c r="D141" s="1" t="s">
        <v>16</v>
      </c>
      <c r="E141" s="1" t="n">
        <v>44211.95</v>
      </c>
      <c r="F141" s="1" t="n">
        <v>5465</v>
      </c>
      <c r="G141" s="1" t="n">
        <v>0.187</v>
      </c>
      <c r="H141" s="1" t="n">
        <v>12</v>
      </c>
      <c r="I141" s="1" t="n">
        <v>90</v>
      </c>
      <c r="J141" s="1" t="n">
        <v>2.89</v>
      </c>
      <c r="K141" s="1" t="n">
        <v>0</v>
      </c>
      <c r="L141" s="1" t="n">
        <v>3.6</v>
      </c>
      <c r="M141" s="1" t="n">
        <v>646559.71</v>
      </c>
      <c r="N141" s="1" t="n">
        <v>97981.75</v>
      </c>
    </row>
    <row r="142" customFormat="false" ht="15" hidden="false" customHeight="true" outlineLevel="0" collapsed="false">
      <c r="A142" s="1" t="s">
        <v>57</v>
      </c>
      <c r="B142" s="3" t="n">
        <v>45658</v>
      </c>
      <c r="C142" s="1" t="s">
        <v>27</v>
      </c>
      <c r="D142" s="1" t="s">
        <v>18</v>
      </c>
      <c r="E142" s="1" t="n">
        <v>51430.31</v>
      </c>
      <c r="F142" s="1" t="n">
        <v>6427</v>
      </c>
      <c r="G142" s="1" t="n">
        <v>0.234</v>
      </c>
      <c r="H142" s="1" t="n">
        <v>14</v>
      </c>
      <c r="I142" s="1" t="n">
        <v>88.8</v>
      </c>
      <c r="J142" s="1" t="n">
        <v>0.77</v>
      </c>
      <c r="K142" s="1" t="n">
        <v>0</v>
      </c>
      <c r="L142" s="1" t="n">
        <v>4.1</v>
      </c>
      <c r="M142" s="1" t="n">
        <v>715890.53</v>
      </c>
      <c r="N142" s="1" t="n">
        <v>109032.15</v>
      </c>
    </row>
    <row r="143" customFormat="false" ht="15" hidden="false" customHeight="true" outlineLevel="0" collapsed="false">
      <c r="A143" s="1" t="s">
        <v>57</v>
      </c>
      <c r="B143" s="3" t="n">
        <v>45689</v>
      </c>
      <c r="C143" s="1" t="s">
        <v>27</v>
      </c>
      <c r="D143" s="1" t="s">
        <v>18</v>
      </c>
      <c r="E143" s="1" t="n">
        <v>45706.49</v>
      </c>
      <c r="F143" s="1" t="n">
        <v>6704</v>
      </c>
      <c r="G143" s="1" t="n">
        <v>0.038</v>
      </c>
      <c r="H143" s="1" t="n">
        <v>15</v>
      </c>
      <c r="I143" s="1" t="n">
        <v>94.2</v>
      </c>
      <c r="J143" s="1" t="n">
        <v>2.92</v>
      </c>
      <c r="K143" s="1" t="n">
        <v>0</v>
      </c>
      <c r="L143" s="1" t="n">
        <v>4.2</v>
      </c>
      <c r="M143" s="1" t="n">
        <v>715097.57</v>
      </c>
      <c r="N143" s="1" t="n">
        <v>151875.86</v>
      </c>
    </row>
    <row r="144" customFormat="false" ht="15" hidden="false" customHeight="true" outlineLevel="0" collapsed="false">
      <c r="A144" s="1" t="s">
        <v>57</v>
      </c>
      <c r="B144" s="3" t="n">
        <v>45717</v>
      </c>
      <c r="C144" s="1" t="s">
        <v>27</v>
      </c>
      <c r="D144" s="1" t="s">
        <v>18</v>
      </c>
      <c r="E144" s="1" t="n">
        <v>44034.6</v>
      </c>
      <c r="F144" s="1" t="n">
        <v>5645</v>
      </c>
      <c r="G144" s="1" t="n">
        <v>0.069</v>
      </c>
      <c r="H144" s="1" t="n">
        <v>18</v>
      </c>
      <c r="I144" s="1" t="n">
        <v>88.5</v>
      </c>
      <c r="J144" s="1" t="n">
        <v>3.07</v>
      </c>
      <c r="K144" s="1" t="n">
        <v>0</v>
      </c>
      <c r="L144" s="1" t="n">
        <v>3.8</v>
      </c>
      <c r="M144" s="1" t="n">
        <v>682639.28</v>
      </c>
      <c r="N144" s="1" t="n">
        <v>77557.53</v>
      </c>
    </row>
    <row r="145" customFormat="false" ht="15" hidden="false" customHeight="true" outlineLevel="0" collapsed="false">
      <c r="A145" s="1" t="s">
        <v>57</v>
      </c>
      <c r="B145" s="3" t="n">
        <v>45748</v>
      </c>
      <c r="C145" s="1" t="s">
        <v>27</v>
      </c>
      <c r="D145" s="1" t="s">
        <v>18</v>
      </c>
      <c r="E145" s="1" t="n">
        <v>50198.12</v>
      </c>
      <c r="F145" s="1" t="n">
        <v>6089</v>
      </c>
      <c r="G145" s="1" t="n">
        <v>0.182</v>
      </c>
      <c r="H145" s="1" t="n">
        <v>19</v>
      </c>
      <c r="I145" s="1" t="n">
        <v>94</v>
      </c>
      <c r="J145" s="1" t="n">
        <v>9.7</v>
      </c>
      <c r="K145" s="1" t="n">
        <v>0</v>
      </c>
      <c r="L145" s="1" t="n">
        <v>3.9</v>
      </c>
      <c r="M145" s="1" t="n">
        <v>695098.51</v>
      </c>
      <c r="N145" s="1" t="n">
        <v>108192.75</v>
      </c>
    </row>
    <row r="146" customFormat="false" ht="15" hidden="false" customHeight="true" outlineLevel="0" collapsed="false">
      <c r="A146" s="1" t="s">
        <v>58</v>
      </c>
      <c r="B146" s="3" t="n">
        <v>45658</v>
      </c>
      <c r="C146" s="1" t="s">
        <v>20</v>
      </c>
      <c r="D146" s="1" t="s">
        <v>16</v>
      </c>
      <c r="E146" s="1" t="n">
        <v>70488.2</v>
      </c>
      <c r="F146" s="1" t="n">
        <v>4312</v>
      </c>
      <c r="G146" s="1" t="n">
        <v>0.169</v>
      </c>
      <c r="H146" s="1" t="n">
        <v>12</v>
      </c>
      <c r="I146" s="1" t="n">
        <v>90.2</v>
      </c>
      <c r="J146" s="1" t="n">
        <v>3.71</v>
      </c>
      <c r="K146" s="1" t="n">
        <v>0</v>
      </c>
      <c r="L146" s="1" t="n">
        <v>3.2</v>
      </c>
      <c r="M146" s="1" t="n">
        <v>577732.57</v>
      </c>
      <c r="N146" s="1" t="n">
        <v>93804.27</v>
      </c>
    </row>
    <row r="147" customFormat="false" ht="15" hidden="false" customHeight="true" outlineLevel="0" collapsed="false">
      <c r="A147" s="1" t="s">
        <v>58</v>
      </c>
      <c r="B147" s="3" t="n">
        <v>45689</v>
      </c>
      <c r="C147" s="1" t="s">
        <v>20</v>
      </c>
      <c r="D147" s="1" t="s">
        <v>16</v>
      </c>
      <c r="E147" s="1" t="n">
        <v>50909.27</v>
      </c>
      <c r="F147" s="1" t="n">
        <v>3152</v>
      </c>
      <c r="G147" s="1" t="n">
        <v>0.06</v>
      </c>
      <c r="H147" s="1" t="n">
        <v>13</v>
      </c>
      <c r="I147" s="1" t="n">
        <v>93.7</v>
      </c>
      <c r="J147" s="1" t="n">
        <v>10.79</v>
      </c>
      <c r="K147" s="1" t="n">
        <v>0</v>
      </c>
      <c r="L147" s="1" t="n">
        <v>3.5</v>
      </c>
      <c r="M147" s="1" t="n">
        <v>537058.33</v>
      </c>
      <c r="N147" s="1" t="n">
        <v>93555.71</v>
      </c>
    </row>
    <row r="148" customFormat="false" ht="15" hidden="false" customHeight="true" outlineLevel="0" collapsed="false">
      <c r="A148" s="1" t="s">
        <v>58</v>
      </c>
      <c r="B148" s="3" t="n">
        <v>45717</v>
      </c>
      <c r="C148" s="1" t="s">
        <v>20</v>
      </c>
      <c r="D148" s="1" t="s">
        <v>16</v>
      </c>
      <c r="E148" s="1" t="n">
        <v>53351.7</v>
      </c>
      <c r="F148" s="1" t="n">
        <v>4259</v>
      </c>
      <c r="G148" s="1" t="n">
        <v>0.156</v>
      </c>
      <c r="H148" s="1" t="n">
        <v>15</v>
      </c>
      <c r="I148" s="1" t="n">
        <v>93.7</v>
      </c>
      <c r="J148" s="1" t="n">
        <v>6.03</v>
      </c>
      <c r="K148" s="1" t="n">
        <v>0</v>
      </c>
      <c r="L148" s="1" t="n">
        <v>3.4</v>
      </c>
      <c r="M148" s="1" t="n">
        <v>601568.87</v>
      </c>
      <c r="N148" s="1" t="n">
        <v>91634.82</v>
      </c>
    </row>
    <row r="149" customFormat="false" ht="15" hidden="false" customHeight="true" outlineLevel="0" collapsed="false">
      <c r="A149" s="1" t="s">
        <v>58</v>
      </c>
      <c r="B149" s="3" t="n">
        <v>45748</v>
      </c>
      <c r="C149" s="1" t="s">
        <v>20</v>
      </c>
      <c r="D149" s="1" t="s">
        <v>16</v>
      </c>
      <c r="E149" s="1" t="n">
        <v>60322.4</v>
      </c>
      <c r="F149" s="1" t="n">
        <v>3350</v>
      </c>
      <c r="G149" s="1" t="n">
        <v>0.108</v>
      </c>
      <c r="H149" s="1" t="n">
        <v>12</v>
      </c>
      <c r="I149" s="1" t="n">
        <v>89.4</v>
      </c>
      <c r="J149" s="1" t="n">
        <v>4.92</v>
      </c>
      <c r="K149" s="1" t="n">
        <v>0</v>
      </c>
      <c r="L149" s="1" t="n">
        <v>3.4</v>
      </c>
      <c r="M149" s="1" t="n">
        <v>570964.84</v>
      </c>
      <c r="N149" s="1" t="n">
        <v>81331.07</v>
      </c>
    </row>
    <row r="150" customFormat="false" ht="15" hidden="false" customHeight="true" outlineLevel="0" collapsed="false">
      <c r="A150" s="1" t="s">
        <v>59</v>
      </c>
      <c r="B150" s="3" t="n">
        <v>45658</v>
      </c>
      <c r="C150" s="1" t="s">
        <v>24</v>
      </c>
      <c r="D150" s="1" t="s">
        <v>28</v>
      </c>
      <c r="E150" s="1" t="n">
        <v>51575.68</v>
      </c>
      <c r="F150" s="1" t="n">
        <v>5329</v>
      </c>
      <c r="G150" s="1" t="n">
        <v>0.047</v>
      </c>
      <c r="H150" s="1" t="n">
        <v>17</v>
      </c>
      <c r="I150" s="1" t="n">
        <v>88.1</v>
      </c>
      <c r="J150" s="1" t="n">
        <v>19.78</v>
      </c>
      <c r="K150" s="1" t="n">
        <v>0</v>
      </c>
      <c r="L150" s="1" t="n">
        <v>3.8</v>
      </c>
      <c r="M150" s="1" t="n">
        <v>614024.91</v>
      </c>
      <c r="N150" s="1" t="n">
        <v>84828.93</v>
      </c>
    </row>
    <row r="151" customFormat="false" ht="15" hidden="false" customHeight="true" outlineLevel="0" collapsed="false">
      <c r="A151" s="1" t="s">
        <v>59</v>
      </c>
      <c r="B151" s="3" t="n">
        <v>45689</v>
      </c>
      <c r="C151" s="1" t="s">
        <v>24</v>
      </c>
      <c r="D151" s="1" t="s">
        <v>28</v>
      </c>
      <c r="E151" s="1" t="n">
        <v>43319.94</v>
      </c>
      <c r="F151" s="1" t="n">
        <v>6551</v>
      </c>
      <c r="G151" s="1" t="n">
        <v>0.044</v>
      </c>
      <c r="H151" s="1" t="n">
        <v>13</v>
      </c>
      <c r="I151" s="1" t="n">
        <v>99</v>
      </c>
      <c r="J151" s="1" t="n">
        <v>5.45</v>
      </c>
      <c r="K151" s="1" t="n">
        <v>0</v>
      </c>
      <c r="L151" s="1" t="n">
        <v>4.1</v>
      </c>
      <c r="M151" s="1" t="n">
        <v>712868.35</v>
      </c>
      <c r="N151" s="1" t="n">
        <v>133650.51</v>
      </c>
    </row>
    <row r="152" customFormat="false" ht="15" hidden="false" customHeight="true" outlineLevel="0" collapsed="false">
      <c r="A152" s="1" t="s">
        <v>59</v>
      </c>
      <c r="B152" s="3" t="n">
        <v>45717</v>
      </c>
      <c r="C152" s="1" t="s">
        <v>24</v>
      </c>
      <c r="D152" s="1" t="s">
        <v>28</v>
      </c>
      <c r="E152" s="1" t="n">
        <v>47093.55</v>
      </c>
      <c r="F152" s="1" t="n">
        <v>5550</v>
      </c>
      <c r="G152" s="1" t="n">
        <v>0.1</v>
      </c>
      <c r="H152" s="1" t="n">
        <v>12</v>
      </c>
      <c r="I152" s="1" t="n">
        <v>95</v>
      </c>
      <c r="J152" s="1" t="n">
        <v>2.33</v>
      </c>
      <c r="K152" s="1" t="n">
        <v>1</v>
      </c>
      <c r="L152" s="1" t="n">
        <v>3.7</v>
      </c>
      <c r="M152" s="1" t="n">
        <v>696744.15</v>
      </c>
      <c r="N152" s="1" t="n">
        <v>152230.09</v>
      </c>
    </row>
    <row r="153" customFormat="false" ht="15" hidden="false" customHeight="true" outlineLevel="0" collapsed="false">
      <c r="A153" s="1" t="s">
        <v>59</v>
      </c>
      <c r="B153" s="3" t="n">
        <v>45748</v>
      </c>
      <c r="C153" s="1" t="s">
        <v>24</v>
      </c>
      <c r="D153" s="1" t="s">
        <v>28</v>
      </c>
      <c r="E153" s="1" t="n">
        <v>71855.09</v>
      </c>
      <c r="F153" s="1" t="n">
        <v>5911</v>
      </c>
      <c r="G153" s="1" t="n">
        <v>0.197</v>
      </c>
      <c r="H153" s="1" t="n">
        <v>15</v>
      </c>
      <c r="I153" s="1" t="n">
        <v>94.3</v>
      </c>
      <c r="J153" s="1" t="n">
        <v>3.55</v>
      </c>
      <c r="K153" s="1" t="n">
        <v>0</v>
      </c>
      <c r="L153" s="1" t="n">
        <v>4.1</v>
      </c>
      <c r="M153" s="1" t="n">
        <v>725847.99</v>
      </c>
      <c r="N153" s="1" t="n">
        <v>122698.73</v>
      </c>
    </row>
    <row r="154" customFormat="false" ht="15" hidden="false" customHeight="true" outlineLevel="0" collapsed="false">
      <c r="A154" s="1" t="s">
        <v>60</v>
      </c>
      <c r="B154" s="3" t="n">
        <v>45658</v>
      </c>
      <c r="C154" s="1" t="s">
        <v>15</v>
      </c>
      <c r="D154" s="1" t="s">
        <v>18</v>
      </c>
      <c r="E154" s="1" t="n">
        <v>75645.23</v>
      </c>
      <c r="F154" s="1" t="n">
        <v>9674</v>
      </c>
      <c r="G154" s="1" t="n">
        <v>0.234</v>
      </c>
      <c r="H154" s="1" t="n">
        <v>21</v>
      </c>
      <c r="I154" s="1" t="n">
        <v>87.4</v>
      </c>
      <c r="J154" s="1" t="n">
        <v>0.2</v>
      </c>
      <c r="K154" s="1" t="n">
        <v>0</v>
      </c>
      <c r="L154" s="1" t="n">
        <v>4.5</v>
      </c>
      <c r="M154" s="1" t="n">
        <v>785028.25</v>
      </c>
      <c r="N154" s="1" t="n">
        <v>110726.44</v>
      </c>
    </row>
    <row r="155" customFormat="false" ht="15" hidden="false" customHeight="true" outlineLevel="0" collapsed="false">
      <c r="A155" s="1" t="s">
        <v>60</v>
      </c>
      <c r="B155" s="3" t="n">
        <v>45689</v>
      </c>
      <c r="C155" s="1" t="s">
        <v>15</v>
      </c>
      <c r="D155" s="1" t="s">
        <v>18</v>
      </c>
      <c r="E155" s="1" t="n">
        <v>64374.75</v>
      </c>
      <c r="F155" s="1" t="n">
        <v>6740</v>
      </c>
      <c r="G155" s="1" t="n">
        <v>0.169</v>
      </c>
      <c r="H155" s="1" t="n">
        <v>18</v>
      </c>
      <c r="I155" s="1" t="n">
        <v>87</v>
      </c>
      <c r="J155" s="1" t="n">
        <v>2.09</v>
      </c>
      <c r="K155" s="1" t="n">
        <v>0</v>
      </c>
      <c r="L155" s="1" t="n">
        <v>4.2</v>
      </c>
      <c r="M155" s="1" t="n">
        <v>698492.67</v>
      </c>
      <c r="N155" s="1" t="n">
        <v>117319.32</v>
      </c>
    </row>
    <row r="156" customFormat="false" ht="15" hidden="false" customHeight="true" outlineLevel="0" collapsed="false">
      <c r="A156" s="1" t="s">
        <v>60</v>
      </c>
      <c r="B156" s="3" t="n">
        <v>45717</v>
      </c>
      <c r="C156" s="1" t="s">
        <v>15</v>
      </c>
      <c r="D156" s="1" t="s">
        <v>18</v>
      </c>
      <c r="E156" s="1" t="n">
        <v>61433.84</v>
      </c>
      <c r="F156" s="1" t="n">
        <v>7745</v>
      </c>
      <c r="G156" s="1" t="n">
        <v>0.18</v>
      </c>
      <c r="H156" s="1" t="n">
        <v>16</v>
      </c>
      <c r="I156" s="1" t="n">
        <v>90.5</v>
      </c>
      <c r="J156" s="1" t="n">
        <v>2.26</v>
      </c>
      <c r="K156" s="1" t="n">
        <v>0</v>
      </c>
      <c r="L156" s="1" t="n">
        <v>4.2</v>
      </c>
      <c r="M156" s="1" t="n">
        <v>685830.24</v>
      </c>
      <c r="N156" s="1" t="n">
        <v>128736.18</v>
      </c>
    </row>
    <row r="157" customFormat="false" ht="15" hidden="false" customHeight="true" outlineLevel="0" collapsed="false">
      <c r="A157" s="1" t="s">
        <v>60</v>
      </c>
      <c r="B157" s="3" t="n">
        <v>45748</v>
      </c>
      <c r="C157" s="1" t="s">
        <v>15</v>
      </c>
      <c r="D157" s="1" t="s">
        <v>18</v>
      </c>
      <c r="E157" s="1" t="n">
        <v>42698.14</v>
      </c>
      <c r="F157" s="1" t="n">
        <v>7693</v>
      </c>
      <c r="G157" s="1" t="n">
        <v>0.187</v>
      </c>
      <c r="H157" s="1" t="n">
        <v>19</v>
      </c>
      <c r="I157" s="1" t="n">
        <v>90.1</v>
      </c>
      <c r="J157" s="1" t="n">
        <v>0.44</v>
      </c>
      <c r="K157" s="1" t="n">
        <v>0</v>
      </c>
      <c r="L157" s="1" t="n">
        <v>4.4</v>
      </c>
      <c r="M157" s="1" t="n">
        <v>702318.94</v>
      </c>
      <c r="N157" s="1" t="n">
        <v>112829.29</v>
      </c>
    </row>
    <row r="158" customFormat="false" ht="15" hidden="false" customHeight="true" outlineLevel="0" collapsed="false">
      <c r="A158" s="1" t="s">
        <v>61</v>
      </c>
      <c r="B158" s="3" t="n">
        <v>45658</v>
      </c>
      <c r="C158" s="1" t="s">
        <v>20</v>
      </c>
      <c r="D158" s="1" t="s">
        <v>28</v>
      </c>
      <c r="E158" s="1" t="n">
        <v>86883.31</v>
      </c>
      <c r="F158" s="1" t="n">
        <v>6424</v>
      </c>
      <c r="G158" s="1" t="n">
        <v>0.057</v>
      </c>
      <c r="H158" s="1" t="n">
        <v>19</v>
      </c>
      <c r="I158" s="1" t="n">
        <v>85.2</v>
      </c>
      <c r="J158" s="1" t="n">
        <v>3.08</v>
      </c>
      <c r="K158" s="1" t="n">
        <v>0</v>
      </c>
      <c r="L158" s="1" t="n">
        <v>3.9</v>
      </c>
      <c r="M158" s="1" t="n">
        <v>700078.32</v>
      </c>
      <c r="N158" s="1" t="n">
        <v>123707.58</v>
      </c>
    </row>
    <row r="159" customFormat="false" ht="15" hidden="false" customHeight="true" outlineLevel="0" collapsed="false">
      <c r="A159" s="1" t="s">
        <v>61</v>
      </c>
      <c r="B159" s="3" t="n">
        <v>45689</v>
      </c>
      <c r="C159" s="1" t="s">
        <v>20</v>
      </c>
      <c r="D159" s="1" t="s">
        <v>28</v>
      </c>
      <c r="E159" s="1" t="n">
        <v>41863.08</v>
      </c>
      <c r="F159" s="1" t="n">
        <v>5400</v>
      </c>
      <c r="G159" s="1" t="n">
        <v>0.114</v>
      </c>
      <c r="H159" s="1" t="n">
        <v>11</v>
      </c>
      <c r="I159" s="1" t="n">
        <v>91.6</v>
      </c>
      <c r="J159" s="1" t="n">
        <v>7.99</v>
      </c>
      <c r="K159" s="1" t="n">
        <v>0</v>
      </c>
      <c r="L159" s="1" t="n">
        <v>3</v>
      </c>
      <c r="M159" s="1" t="n">
        <v>602002.32</v>
      </c>
      <c r="N159" s="1" t="n">
        <v>110453.28</v>
      </c>
    </row>
    <row r="160" customFormat="false" ht="15" hidden="false" customHeight="true" outlineLevel="0" collapsed="false">
      <c r="A160" s="1" t="s">
        <v>61</v>
      </c>
      <c r="B160" s="3" t="n">
        <v>45717</v>
      </c>
      <c r="C160" s="1" t="s">
        <v>20</v>
      </c>
      <c r="D160" s="1" t="s">
        <v>28</v>
      </c>
      <c r="E160" s="1" t="n">
        <v>56918.16</v>
      </c>
      <c r="F160" s="1" t="n">
        <v>7015</v>
      </c>
      <c r="G160" s="1" t="n">
        <v>0.158</v>
      </c>
      <c r="H160" s="1" t="n">
        <v>18</v>
      </c>
      <c r="I160" s="1" t="n">
        <v>74.2</v>
      </c>
      <c r="J160" s="1" t="n">
        <v>0.2</v>
      </c>
      <c r="K160" s="1" t="n">
        <v>0</v>
      </c>
      <c r="L160" s="1" t="n">
        <v>3.4</v>
      </c>
      <c r="M160" s="1" t="n">
        <v>724216.07</v>
      </c>
      <c r="N160" s="1" t="n">
        <v>100627.56</v>
      </c>
    </row>
    <row r="161" customFormat="false" ht="15" hidden="false" customHeight="true" outlineLevel="0" collapsed="false">
      <c r="A161" s="1" t="s">
        <v>61</v>
      </c>
      <c r="B161" s="3" t="n">
        <v>45748</v>
      </c>
      <c r="C161" s="1" t="s">
        <v>20</v>
      </c>
      <c r="D161" s="1" t="s">
        <v>28</v>
      </c>
      <c r="E161" s="1" t="n">
        <v>23254.57</v>
      </c>
      <c r="F161" s="1" t="n">
        <v>3847</v>
      </c>
      <c r="G161" s="1" t="n">
        <v>0.159</v>
      </c>
      <c r="H161" s="1" t="n">
        <v>12</v>
      </c>
      <c r="I161" s="1" t="n">
        <v>93</v>
      </c>
      <c r="J161" s="1" t="n">
        <v>5.46</v>
      </c>
      <c r="K161" s="1" t="n">
        <v>0</v>
      </c>
      <c r="L161" s="1" t="n">
        <v>3.3</v>
      </c>
      <c r="M161" s="1" t="n">
        <v>620973.03</v>
      </c>
      <c r="N161" s="1" t="n">
        <v>72303.85</v>
      </c>
    </row>
    <row r="162" customFormat="false" ht="15" hidden="false" customHeight="true" outlineLevel="0" collapsed="false">
      <c r="A162" s="1" t="s">
        <v>62</v>
      </c>
      <c r="B162" s="3" t="n">
        <v>45658</v>
      </c>
      <c r="C162" s="1" t="s">
        <v>24</v>
      </c>
      <c r="D162" s="1" t="s">
        <v>18</v>
      </c>
      <c r="E162" s="1" t="n">
        <v>41443.41</v>
      </c>
      <c r="F162" s="1" t="n">
        <v>7455</v>
      </c>
      <c r="G162" s="1" t="n">
        <v>0.175</v>
      </c>
      <c r="H162" s="1" t="n">
        <v>16</v>
      </c>
      <c r="I162" s="1" t="n">
        <v>90.1</v>
      </c>
      <c r="J162" s="1" t="n">
        <v>4.05</v>
      </c>
      <c r="K162" s="1" t="n">
        <v>0</v>
      </c>
      <c r="L162" s="1" t="n">
        <v>4</v>
      </c>
      <c r="M162" s="1" t="n">
        <v>650480.06</v>
      </c>
      <c r="N162" s="1" t="n">
        <v>109012.07</v>
      </c>
    </row>
    <row r="163" customFormat="false" ht="15" hidden="false" customHeight="true" outlineLevel="0" collapsed="false">
      <c r="A163" s="1" t="s">
        <v>62</v>
      </c>
      <c r="B163" s="3" t="n">
        <v>45689</v>
      </c>
      <c r="C163" s="1" t="s">
        <v>24</v>
      </c>
      <c r="D163" s="1" t="s">
        <v>18</v>
      </c>
      <c r="E163" s="1" t="n">
        <v>48438.85</v>
      </c>
      <c r="F163" s="1" t="n">
        <v>6992</v>
      </c>
      <c r="G163" s="1" t="n">
        <v>0.034</v>
      </c>
      <c r="H163" s="1" t="n">
        <v>20</v>
      </c>
      <c r="I163" s="1" t="n">
        <v>91</v>
      </c>
      <c r="J163" s="1" t="n">
        <v>4.36</v>
      </c>
      <c r="K163" s="1" t="n">
        <v>0</v>
      </c>
      <c r="L163" s="1" t="n">
        <v>4.2</v>
      </c>
      <c r="M163" s="1" t="n">
        <v>778298.88</v>
      </c>
      <c r="N163" s="1" t="n">
        <v>130076.72</v>
      </c>
    </row>
    <row r="164" customFormat="false" ht="15" hidden="false" customHeight="true" outlineLevel="0" collapsed="false">
      <c r="A164" s="1" t="s">
        <v>62</v>
      </c>
      <c r="B164" s="3" t="n">
        <v>45717</v>
      </c>
      <c r="C164" s="1" t="s">
        <v>24</v>
      </c>
      <c r="D164" s="1" t="s">
        <v>18</v>
      </c>
      <c r="E164" s="1" t="n">
        <v>57143.3</v>
      </c>
      <c r="F164" s="1" t="n">
        <v>8038</v>
      </c>
      <c r="G164" s="1" t="n">
        <v>0.193</v>
      </c>
      <c r="H164" s="1" t="n">
        <v>17</v>
      </c>
      <c r="I164" s="1" t="n">
        <v>72.6</v>
      </c>
      <c r="K164" s="1" t="n">
        <v>0</v>
      </c>
      <c r="L164" s="1" t="n">
        <v>4.2</v>
      </c>
      <c r="M164" s="1" t="n">
        <v>677096.71</v>
      </c>
      <c r="N164" s="1" t="n">
        <v>97174.11</v>
      </c>
    </row>
    <row r="165" customFormat="false" ht="15" hidden="false" customHeight="true" outlineLevel="0" collapsed="false">
      <c r="A165" s="1" t="s">
        <v>62</v>
      </c>
      <c r="B165" s="3" t="n">
        <v>45748</v>
      </c>
      <c r="C165" s="1" t="s">
        <v>24</v>
      </c>
      <c r="D165" s="1" t="s">
        <v>18</v>
      </c>
      <c r="E165" s="1" t="n">
        <v>66870.62</v>
      </c>
      <c r="F165" s="1" t="n">
        <v>6055</v>
      </c>
      <c r="G165" s="1" t="n">
        <v>0.075</v>
      </c>
      <c r="H165" s="1" t="n">
        <v>19</v>
      </c>
      <c r="I165" s="1" t="n">
        <v>93.8</v>
      </c>
      <c r="J165" s="1" t="n">
        <v>0.54</v>
      </c>
      <c r="K165" s="1" t="n">
        <v>0</v>
      </c>
      <c r="L165" s="1" t="n">
        <v>4.3</v>
      </c>
      <c r="M165" s="1" t="n">
        <v>692008.64</v>
      </c>
      <c r="N165" s="1" t="n">
        <v>116337.87</v>
      </c>
    </row>
    <row r="166" customFormat="false" ht="15" hidden="false" customHeight="true" outlineLevel="0" collapsed="false">
      <c r="A166" s="1" t="s">
        <v>63</v>
      </c>
      <c r="B166" s="3" t="n">
        <v>45658</v>
      </c>
      <c r="C166" s="1" t="s">
        <v>20</v>
      </c>
      <c r="D166" s="1" t="s">
        <v>28</v>
      </c>
      <c r="E166" s="1" t="n">
        <v>72150.53</v>
      </c>
      <c r="F166" s="1" t="n">
        <v>9323</v>
      </c>
      <c r="G166" s="1" t="n">
        <v>0.157</v>
      </c>
      <c r="H166" s="1" t="n">
        <v>22</v>
      </c>
      <c r="I166" s="1" t="n">
        <v>82.9</v>
      </c>
      <c r="J166" s="1" t="n">
        <v>11.37</v>
      </c>
      <c r="K166" s="1" t="n">
        <v>1</v>
      </c>
      <c r="L166" s="1" t="n">
        <v>4.3</v>
      </c>
      <c r="M166" s="1" t="n">
        <v>825797.91</v>
      </c>
      <c r="N166" s="1" t="n">
        <v>130945.24</v>
      </c>
    </row>
    <row r="167" customFormat="false" ht="15" hidden="false" customHeight="true" outlineLevel="0" collapsed="false">
      <c r="A167" s="1" t="s">
        <v>63</v>
      </c>
      <c r="B167" s="3" t="n">
        <v>45689</v>
      </c>
      <c r="C167" s="1" t="s">
        <v>20</v>
      </c>
      <c r="D167" s="1" t="s">
        <v>28</v>
      </c>
      <c r="E167" s="1" t="n">
        <v>35303.3</v>
      </c>
      <c r="F167" s="1" t="n">
        <v>8789</v>
      </c>
      <c r="G167" s="1" t="n">
        <v>0.123</v>
      </c>
      <c r="H167" s="1" t="n">
        <v>22</v>
      </c>
      <c r="I167" s="1" t="n">
        <v>86.1</v>
      </c>
      <c r="J167" s="1" t="n">
        <v>9.43</v>
      </c>
      <c r="K167" s="1" t="n">
        <v>0</v>
      </c>
      <c r="L167" s="1" t="n">
        <v>4.2</v>
      </c>
      <c r="M167" s="1" t="n">
        <v>706285.52</v>
      </c>
      <c r="N167" s="1" t="n">
        <v>138014.72</v>
      </c>
    </row>
    <row r="168" customFormat="false" ht="15" hidden="false" customHeight="true" outlineLevel="0" collapsed="false">
      <c r="A168" s="1" t="s">
        <v>63</v>
      </c>
      <c r="B168" s="3" t="n">
        <v>45717</v>
      </c>
      <c r="C168" s="1" t="s">
        <v>20</v>
      </c>
      <c r="D168" s="1" t="s">
        <v>28</v>
      </c>
      <c r="E168" s="1" t="n">
        <v>30301.86</v>
      </c>
      <c r="F168" s="1" t="n">
        <v>6939</v>
      </c>
      <c r="G168" s="1" t="n">
        <v>0.09</v>
      </c>
      <c r="H168" s="1" t="n">
        <v>16</v>
      </c>
      <c r="I168" s="1" t="n">
        <v>90.3</v>
      </c>
      <c r="J168" s="1" t="n">
        <v>3.49</v>
      </c>
      <c r="K168" s="1" t="n">
        <v>0</v>
      </c>
      <c r="L168" s="1" t="n">
        <v>4</v>
      </c>
      <c r="M168" s="1" t="n">
        <v>665534.7</v>
      </c>
      <c r="N168" s="1" t="n">
        <v>113167.73</v>
      </c>
    </row>
    <row r="169" customFormat="false" ht="15" hidden="false" customHeight="true" outlineLevel="0" collapsed="false">
      <c r="A169" s="1" t="s">
        <v>63</v>
      </c>
      <c r="B169" s="3" t="n">
        <v>45748</v>
      </c>
      <c r="C169" s="1" t="s">
        <v>20</v>
      </c>
      <c r="D169" s="1" t="s">
        <v>28</v>
      </c>
      <c r="E169" s="1" t="n">
        <v>78432.14</v>
      </c>
      <c r="F169" s="1" t="n">
        <v>9440</v>
      </c>
      <c r="G169" s="1" t="n">
        <v>0.126</v>
      </c>
      <c r="H169" s="1" t="n">
        <v>23</v>
      </c>
      <c r="I169" s="1" t="n">
        <v>89.2</v>
      </c>
      <c r="J169" s="1" t="n">
        <v>7.86</v>
      </c>
      <c r="K169" s="1" t="n">
        <v>0</v>
      </c>
      <c r="L169" s="1" t="n">
        <v>4.1</v>
      </c>
      <c r="M169" s="1" t="n">
        <v>820729.29</v>
      </c>
      <c r="N169" s="1" t="n">
        <v>159325.47</v>
      </c>
    </row>
    <row r="170" customFormat="false" ht="15" hidden="false" customHeight="true" outlineLevel="0" collapsed="false">
      <c r="A170" s="1" t="s">
        <v>64</v>
      </c>
      <c r="B170" s="3" t="n">
        <v>45658</v>
      </c>
      <c r="C170" s="1" t="s">
        <v>15</v>
      </c>
      <c r="D170" s="1" t="s">
        <v>16</v>
      </c>
      <c r="E170" s="1" t="n">
        <v>62059.18</v>
      </c>
      <c r="F170" s="1" t="n">
        <v>9374</v>
      </c>
      <c r="G170" s="1" t="n">
        <v>0.136</v>
      </c>
      <c r="H170" s="1" t="n">
        <v>25</v>
      </c>
      <c r="I170" s="1" t="n">
        <v>87.1</v>
      </c>
      <c r="J170" s="1" t="n">
        <v>12.55</v>
      </c>
      <c r="K170" s="1" t="n">
        <v>0</v>
      </c>
      <c r="L170" s="1" t="n">
        <v>4.9</v>
      </c>
      <c r="M170" s="1" t="n">
        <v>739831.73</v>
      </c>
      <c r="N170" s="1" t="n">
        <v>119490.21</v>
      </c>
    </row>
    <row r="171" customFormat="false" ht="15" hidden="false" customHeight="true" outlineLevel="0" collapsed="false">
      <c r="A171" s="1" t="s">
        <v>64</v>
      </c>
      <c r="B171" s="3" t="n">
        <v>45689</v>
      </c>
      <c r="C171" s="1" t="s">
        <v>15</v>
      </c>
      <c r="D171" s="1" t="s">
        <v>16</v>
      </c>
      <c r="E171" s="1" t="n">
        <v>32834.48</v>
      </c>
      <c r="F171" s="1" t="n">
        <v>7576</v>
      </c>
      <c r="G171" s="1" t="n">
        <v>0.099</v>
      </c>
      <c r="H171" s="1" t="n">
        <v>15</v>
      </c>
      <c r="I171" s="1" t="n">
        <v>84.1</v>
      </c>
      <c r="J171" s="1" t="n">
        <v>3.48</v>
      </c>
      <c r="K171" s="1" t="n">
        <v>0</v>
      </c>
      <c r="L171" s="1" t="n">
        <v>5</v>
      </c>
      <c r="M171" s="1" t="n">
        <v>593637.14</v>
      </c>
      <c r="N171" s="1" t="n">
        <v>106648.14</v>
      </c>
    </row>
    <row r="172" customFormat="false" ht="15" hidden="false" customHeight="true" outlineLevel="0" collapsed="false">
      <c r="A172" s="1" t="s">
        <v>64</v>
      </c>
      <c r="B172" s="3" t="n">
        <v>45717</v>
      </c>
      <c r="C172" s="1" t="s">
        <v>15</v>
      </c>
      <c r="D172" s="1" t="s">
        <v>16</v>
      </c>
      <c r="E172" s="1" t="n">
        <v>50825.08</v>
      </c>
      <c r="F172" s="1" t="n">
        <v>8949</v>
      </c>
      <c r="G172" s="1" t="n">
        <v>0.157</v>
      </c>
      <c r="H172" s="1" t="n">
        <v>21</v>
      </c>
      <c r="I172" s="1" t="n">
        <v>84.7</v>
      </c>
      <c r="J172" s="1" t="n">
        <v>7.73</v>
      </c>
      <c r="K172" s="1" t="n">
        <v>0</v>
      </c>
      <c r="L172" s="1" t="n">
        <v>4.9</v>
      </c>
      <c r="M172" s="1" t="n">
        <v>769702.76</v>
      </c>
      <c r="N172" s="1" t="n">
        <v>158697</v>
      </c>
    </row>
    <row r="173" customFormat="false" ht="15" hidden="false" customHeight="true" outlineLevel="0" collapsed="false">
      <c r="A173" s="1" t="s">
        <v>64</v>
      </c>
      <c r="B173" s="3" t="n">
        <v>45748</v>
      </c>
      <c r="C173" s="1" t="s">
        <v>15</v>
      </c>
      <c r="D173" s="1" t="s">
        <v>16</v>
      </c>
      <c r="E173" s="1" t="n">
        <v>36606.51</v>
      </c>
      <c r="F173" s="1" t="n">
        <v>7671</v>
      </c>
      <c r="G173" s="1" t="n">
        <v>0.118</v>
      </c>
      <c r="H173" s="1" t="n">
        <v>18</v>
      </c>
      <c r="I173" s="1" t="n">
        <v>89.8</v>
      </c>
      <c r="J173" s="1" t="n">
        <v>0.25</v>
      </c>
      <c r="K173" s="1" t="n">
        <v>0</v>
      </c>
      <c r="L173" s="1" t="n">
        <v>4.4</v>
      </c>
      <c r="M173" s="1" t="n">
        <v>679731.57</v>
      </c>
      <c r="N173" s="1" t="n">
        <v>121546.42</v>
      </c>
    </row>
    <row r="174" customFormat="false" ht="15" hidden="false" customHeight="true" outlineLevel="0" collapsed="false">
      <c r="A174" s="1" t="s">
        <v>65</v>
      </c>
      <c r="B174" s="3" t="n">
        <v>45658</v>
      </c>
      <c r="C174" s="1" t="s">
        <v>15</v>
      </c>
      <c r="D174" s="1" t="s">
        <v>16</v>
      </c>
      <c r="E174" s="1" t="n">
        <v>65237.79</v>
      </c>
      <c r="F174" s="1" t="n">
        <v>8741</v>
      </c>
      <c r="G174" s="1" t="n">
        <v>0.157</v>
      </c>
      <c r="H174" s="1" t="n">
        <v>20</v>
      </c>
      <c r="I174" s="1" t="n">
        <v>94.4</v>
      </c>
      <c r="J174" s="1" t="n">
        <v>6.43</v>
      </c>
      <c r="K174" s="1" t="n">
        <v>0</v>
      </c>
      <c r="L174" s="1" t="n">
        <v>3.3</v>
      </c>
      <c r="M174" s="1" t="n">
        <v>780344.18</v>
      </c>
      <c r="N174" s="1" t="n">
        <v>118239.09</v>
      </c>
    </row>
    <row r="175" customFormat="false" ht="15" hidden="false" customHeight="true" outlineLevel="0" collapsed="false">
      <c r="A175" s="1" t="s">
        <v>65</v>
      </c>
      <c r="B175" s="3" t="n">
        <v>45689</v>
      </c>
      <c r="C175" s="1" t="s">
        <v>15</v>
      </c>
      <c r="D175" s="1" t="s">
        <v>16</v>
      </c>
      <c r="E175" s="1" t="n">
        <v>43645.98</v>
      </c>
      <c r="F175" s="1" t="n">
        <v>9480</v>
      </c>
      <c r="G175" s="1" t="n">
        <v>0.109</v>
      </c>
      <c r="H175" s="1" t="n">
        <v>22</v>
      </c>
      <c r="I175" s="1" t="n">
        <v>89</v>
      </c>
      <c r="J175" s="1" t="n">
        <v>2.11</v>
      </c>
      <c r="K175" s="1" t="n">
        <v>0</v>
      </c>
      <c r="L175" s="1" t="n">
        <v>3.1</v>
      </c>
      <c r="M175" s="1" t="n">
        <v>721364.11</v>
      </c>
      <c r="N175" s="1" t="n">
        <v>147272.81</v>
      </c>
    </row>
    <row r="176" customFormat="false" ht="15" hidden="false" customHeight="true" outlineLevel="0" collapsed="false">
      <c r="A176" s="1" t="s">
        <v>65</v>
      </c>
      <c r="B176" s="3" t="n">
        <v>45717</v>
      </c>
      <c r="C176" s="1" t="s">
        <v>15</v>
      </c>
      <c r="D176" s="1" t="s">
        <v>16</v>
      </c>
      <c r="E176" s="1" t="n">
        <v>68040.15</v>
      </c>
      <c r="F176" s="1" t="n">
        <v>9826</v>
      </c>
      <c r="G176" s="1" t="n">
        <v>0.125</v>
      </c>
      <c r="H176" s="1" t="n">
        <v>20</v>
      </c>
      <c r="I176" s="1" t="n">
        <v>83.9</v>
      </c>
      <c r="J176" s="1" t="n">
        <v>9.12</v>
      </c>
      <c r="K176" s="1" t="n">
        <v>0</v>
      </c>
      <c r="L176" s="1" t="n">
        <v>3.6</v>
      </c>
      <c r="M176" s="1" t="n">
        <v>758138.29</v>
      </c>
      <c r="N176" s="1" t="n">
        <v>132975.26</v>
      </c>
    </row>
    <row r="177" customFormat="false" ht="15" hidden="false" customHeight="true" outlineLevel="0" collapsed="false">
      <c r="A177" s="1" t="s">
        <v>65</v>
      </c>
      <c r="B177" s="3" t="n">
        <v>45748</v>
      </c>
      <c r="C177" s="1" t="s">
        <v>15</v>
      </c>
      <c r="D177" s="1" t="s">
        <v>16</v>
      </c>
      <c r="E177" s="1" t="n">
        <v>63043.94</v>
      </c>
      <c r="F177" s="1" t="n">
        <v>10402</v>
      </c>
      <c r="G177" s="1" t="n">
        <v>0.159</v>
      </c>
      <c r="H177" s="1" t="n">
        <v>23</v>
      </c>
      <c r="I177" s="1" t="n">
        <v>93.9</v>
      </c>
      <c r="J177" s="1" t="n">
        <v>2.71</v>
      </c>
      <c r="K177" s="1" t="n">
        <v>0</v>
      </c>
      <c r="L177" s="1" t="n">
        <v>3.1</v>
      </c>
      <c r="M177" s="1" t="n">
        <v>804264</v>
      </c>
      <c r="N177" s="1" t="n">
        <v>167117.91</v>
      </c>
    </row>
    <row r="178" customFormat="false" ht="15" hidden="false" customHeight="true" outlineLevel="0" collapsed="false">
      <c r="A178" s="1" t="s">
        <v>66</v>
      </c>
      <c r="B178" s="3" t="n">
        <v>45658</v>
      </c>
      <c r="C178" s="1" t="s">
        <v>27</v>
      </c>
      <c r="D178" s="1" t="s">
        <v>21</v>
      </c>
      <c r="E178" s="1" t="n">
        <v>67494.09</v>
      </c>
      <c r="F178" s="1" t="n">
        <v>12361</v>
      </c>
      <c r="G178" s="1" t="n">
        <v>0.046</v>
      </c>
      <c r="H178" s="1" t="n">
        <v>24</v>
      </c>
      <c r="I178" s="1" t="n">
        <v>76.6</v>
      </c>
      <c r="J178" s="1" t="n">
        <v>3.65</v>
      </c>
      <c r="K178" s="1" t="n">
        <v>1</v>
      </c>
      <c r="L178" s="1" t="n">
        <v>3.7</v>
      </c>
      <c r="M178" s="1" t="n">
        <v>887537.75</v>
      </c>
      <c r="N178" s="1" t="n">
        <v>160362.92</v>
      </c>
    </row>
    <row r="179" customFormat="false" ht="15" hidden="false" customHeight="true" outlineLevel="0" collapsed="false">
      <c r="A179" s="1" t="s">
        <v>66</v>
      </c>
      <c r="B179" s="3" t="n">
        <v>45689</v>
      </c>
      <c r="C179" s="1" t="s">
        <v>27</v>
      </c>
      <c r="D179" s="1" t="s">
        <v>21</v>
      </c>
      <c r="E179" s="1" t="n">
        <v>29389.32</v>
      </c>
      <c r="F179" s="1" t="n">
        <v>7925</v>
      </c>
      <c r="G179" s="1" t="n">
        <v>0.177</v>
      </c>
      <c r="H179" s="1" t="n">
        <v>21</v>
      </c>
      <c r="I179" s="1" t="n">
        <v>90.9</v>
      </c>
      <c r="J179" s="1" t="n">
        <v>7.86</v>
      </c>
      <c r="K179" s="1" t="n">
        <v>0</v>
      </c>
      <c r="L179" s="1" t="n">
        <v>4</v>
      </c>
      <c r="M179" s="1" t="n">
        <v>783582</v>
      </c>
      <c r="N179" s="1" t="n">
        <v>130670.93</v>
      </c>
    </row>
    <row r="180" customFormat="false" ht="15" hidden="false" customHeight="true" outlineLevel="0" collapsed="false">
      <c r="A180" s="1" t="s">
        <v>66</v>
      </c>
      <c r="B180" s="3" t="n">
        <v>45717</v>
      </c>
      <c r="C180" s="1" t="s">
        <v>27</v>
      </c>
      <c r="D180" s="1" t="s">
        <v>21</v>
      </c>
      <c r="E180" s="1" t="n">
        <v>40535.09</v>
      </c>
      <c r="F180" s="1" t="n">
        <v>8870</v>
      </c>
      <c r="G180" s="1" t="n">
        <v>0.041</v>
      </c>
      <c r="H180" s="1" t="n">
        <v>21</v>
      </c>
      <c r="I180" s="1" t="n">
        <v>86.6</v>
      </c>
      <c r="J180" s="1" t="n">
        <v>0.3</v>
      </c>
      <c r="K180" s="1" t="n">
        <v>0</v>
      </c>
      <c r="L180" s="1" t="n">
        <v>4.1</v>
      </c>
      <c r="M180" s="1" t="n">
        <v>781955.52</v>
      </c>
      <c r="N180" s="1" t="n">
        <v>152578.71</v>
      </c>
    </row>
    <row r="181" customFormat="false" ht="15" hidden="false" customHeight="true" outlineLevel="0" collapsed="false">
      <c r="A181" s="1" t="s">
        <v>66</v>
      </c>
      <c r="B181" s="3" t="n">
        <v>45748</v>
      </c>
      <c r="C181" s="1" t="s">
        <v>27</v>
      </c>
      <c r="D181" s="1" t="s">
        <v>21</v>
      </c>
      <c r="E181" s="1" t="n">
        <v>74881.56</v>
      </c>
      <c r="F181" s="1" t="n">
        <v>9999</v>
      </c>
      <c r="G181" s="1" t="n">
        <v>0.013</v>
      </c>
      <c r="H181" s="1" t="n">
        <v>20</v>
      </c>
      <c r="I181" s="1" t="n">
        <v>89.6</v>
      </c>
      <c r="J181" s="1" t="n">
        <v>8.44</v>
      </c>
      <c r="K181" s="1" t="n">
        <v>0</v>
      </c>
      <c r="L181" s="1" t="n">
        <v>4.1</v>
      </c>
      <c r="M181" s="1" t="n">
        <v>898031.04</v>
      </c>
      <c r="N181" s="1" t="n">
        <v>138666.5</v>
      </c>
    </row>
    <row r="182" customFormat="false" ht="15" hidden="false" customHeight="true" outlineLevel="0" collapsed="false">
      <c r="A182" s="1" t="s">
        <v>67</v>
      </c>
      <c r="B182" s="3" t="n">
        <v>45658</v>
      </c>
      <c r="C182" s="1" t="s">
        <v>27</v>
      </c>
      <c r="D182" s="1" t="s">
        <v>16</v>
      </c>
      <c r="E182" s="1" t="n">
        <v>68491.11</v>
      </c>
      <c r="F182" s="1" t="n">
        <v>11154</v>
      </c>
      <c r="G182" s="1" t="n">
        <v>0.001</v>
      </c>
      <c r="H182" s="1" t="n">
        <v>24</v>
      </c>
      <c r="I182" s="1" t="n">
        <v>89.4</v>
      </c>
      <c r="J182" s="1" t="n">
        <v>5.27</v>
      </c>
      <c r="K182" s="1" t="n">
        <v>1</v>
      </c>
      <c r="L182" s="1" t="n">
        <v>3.9</v>
      </c>
      <c r="M182" s="1" t="n">
        <v>855341.28</v>
      </c>
      <c r="N182" s="1" t="n">
        <v>175823.8</v>
      </c>
    </row>
    <row r="183" customFormat="false" ht="15" hidden="false" customHeight="true" outlineLevel="0" collapsed="false">
      <c r="A183" s="1" t="s">
        <v>67</v>
      </c>
      <c r="B183" s="3" t="n">
        <v>45689</v>
      </c>
      <c r="C183" s="1" t="s">
        <v>27</v>
      </c>
      <c r="D183" s="1" t="s">
        <v>16</v>
      </c>
      <c r="E183" s="1" t="n">
        <v>45209.25</v>
      </c>
      <c r="F183" s="1" t="n">
        <v>9287</v>
      </c>
      <c r="G183" s="1" t="n">
        <v>0.141</v>
      </c>
      <c r="H183" s="1" t="n">
        <v>22</v>
      </c>
      <c r="I183" s="1" t="n">
        <v>86.4</v>
      </c>
      <c r="J183" s="1" t="n">
        <v>13.22</v>
      </c>
      <c r="K183" s="1" t="n">
        <v>0</v>
      </c>
      <c r="L183" s="1" t="n">
        <v>3.6</v>
      </c>
      <c r="M183" s="1" t="n">
        <v>751393.88</v>
      </c>
      <c r="N183" s="1" t="n">
        <v>91480.32</v>
      </c>
    </row>
    <row r="184" customFormat="false" ht="15" hidden="false" customHeight="true" outlineLevel="0" collapsed="false">
      <c r="A184" s="1" t="s">
        <v>67</v>
      </c>
      <c r="B184" s="3" t="n">
        <v>45717</v>
      </c>
      <c r="C184" s="1" t="s">
        <v>27</v>
      </c>
      <c r="D184" s="1" t="s">
        <v>16</v>
      </c>
      <c r="E184" s="1" t="n">
        <v>63010.23</v>
      </c>
      <c r="F184" s="1" t="n">
        <v>9812</v>
      </c>
      <c r="G184" s="1" t="n">
        <v>0.113</v>
      </c>
      <c r="H184" s="1" t="n">
        <v>24</v>
      </c>
      <c r="I184" s="1" t="n">
        <v>76.8</v>
      </c>
      <c r="J184" s="1" t="n">
        <v>1.02</v>
      </c>
      <c r="K184" s="1" t="n">
        <v>1</v>
      </c>
      <c r="L184" s="1" t="n">
        <v>3.8</v>
      </c>
      <c r="M184" s="1" t="n">
        <v>761077.08</v>
      </c>
      <c r="N184" s="1" t="n">
        <v>113605.93</v>
      </c>
    </row>
    <row r="185" customFormat="false" ht="15" hidden="false" customHeight="true" outlineLevel="0" collapsed="false">
      <c r="A185" s="1" t="s">
        <v>67</v>
      </c>
      <c r="B185" s="3" t="n">
        <v>45748</v>
      </c>
      <c r="C185" s="1" t="s">
        <v>27</v>
      </c>
      <c r="D185" s="1" t="s">
        <v>16</v>
      </c>
      <c r="E185" s="1" t="n">
        <v>57948.88</v>
      </c>
      <c r="F185" s="1" t="n">
        <v>10741</v>
      </c>
      <c r="G185" s="1" t="n">
        <v>0.07</v>
      </c>
      <c r="H185" s="1" t="n">
        <v>25</v>
      </c>
      <c r="I185" s="1" t="n">
        <v>90.1</v>
      </c>
      <c r="J185" s="1" t="n">
        <v>4.03</v>
      </c>
      <c r="K185" s="1" t="n">
        <v>0</v>
      </c>
      <c r="L185" s="1" t="n">
        <v>3.1</v>
      </c>
      <c r="M185" s="1" t="n">
        <v>819660.59</v>
      </c>
      <c r="N185" s="1" t="n">
        <v>172699.95</v>
      </c>
    </row>
    <row r="186" customFormat="false" ht="15" hidden="false" customHeight="true" outlineLevel="0" collapsed="false">
      <c r="A186" s="1" t="s">
        <v>68</v>
      </c>
      <c r="B186" s="3" t="n">
        <v>45658</v>
      </c>
      <c r="C186" s="1" t="s">
        <v>20</v>
      </c>
      <c r="D186" s="1" t="s">
        <v>18</v>
      </c>
      <c r="E186" s="1" t="n">
        <v>71941.62</v>
      </c>
      <c r="F186" s="1" t="n">
        <v>6084</v>
      </c>
      <c r="G186" s="1" t="n">
        <v>0.072</v>
      </c>
      <c r="H186" s="1" t="n">
        <v>13</v>
      </c>
      <c r="I186" s="1" t="n">
        <v>93.7</v>
      </c>
      <c r="J186" s="1" t="n">
        <v>2.34</v>
      </c>
      <c r="K186" s="1" t="n">
        <v>0</v>
      </c>
      <c r="L186" s="1" t="n">
        <v>4.4</v>
      </c>
      <c r="M186" s="1" t="n">
        <v>681855.56</v>
      </c>
      <c r="N186" s="1" t="n">
        <v>117645.61</v>
      </c>
    </row>
    <row r="187" customFormat="false" ht="15" hidden="false" customHeight="true" outlineLevel="0" collapsed="false">
      <c r="A187" s="1" t="s">
        <v>68</v>
      </c>
      <c r="B187" s="3" t="n">
        <v>45689</v>
      </c>
      <c r="C187" s="1" t="s">
        <v>20</v>
      </c>
      <c r="D187" s="1" t="s">
        <v>18</v>
      </c>
      <c r="E187" s="1" t="n">
        <v>57147.88</v>
      </c>
      <c r="F187" s="1" t="n">
        <v>5252</v>
      </c>
      <c r="G187" s="1" t="n">
        <v>0.161</v>
      </c>
      <c r="H187" s="1" t="n">
        <v>15</v>
      </c>
      <c r="I187" s="1" t="n">
        <v>95.5</v>
      </c>
      <c r="J187" s="1" t="n">
        <v>8.51</v>
      </c>
      <c r="K187" s="1" t="n">
        <v>0</v>
      </c>
      <c r="L187" s="1" t="n">
        <v>4.4</v>
      </c>
      <c r="M187" s="1" t="n">
        <v>678311.17</v>
      </c>
      <c r="N187" s="1" t="n">
        <v>132029.76</v>
      </c>
    </row>
    <row r="188" customFormat="false" ht="15" hidden="false" customHeight="true" outlineLevel="0" collapsed="false">
      <c r="A188" s="1" t="s">
        <v>68</v>
      </c>
      <c r="B188" s="3" t="n">
        <v>45717</v>
      </c>
      <c r="C188" s="1" t="s">
        <v>20</v>
      </c>
      <c r="D188" s="1" t="s">
        <v>18</v>
      </c>
      <c r="E188" s="1" t="n">
        <v>48031.74</v>
      </c>
      <c r="F188" s="1" t="n">
        <v>6516</v>
      </c>
      <c r="G188" s="1" t="n">
        <v>0.067</v>
      </c>
      <c r="H188" s="1" t="n">
        <v>14</v>
      </c>
      <c r="I188" s="1" t="n">
        <v>99</v>
      </c>
      <c r="J188" s="1" t="n">
        <v>0.48</v>
      </c>
      <c r="K188" s="1" t="n">
        <v>1</v>
      </c>
      <c r="L188" s="1" t="n">
        <v>4.3</v>
      </c>
      <c r="M188" s="1" t="n">
        <v>765906.95</v>
      </c>
      <c r="N188" s="1" t="n">
        <v>114005.9</v>
      </c>
    </row>
    <row r="189" customFormat="false" ht="15" hidden="false" customHeight="true" outlineLevel="0" collapsed="false">
      <c r="A189" s="1" t="s">
        <v>68</v>
      </c>
      <c r="B189" s="3" t="n">
        <v>45748</v>
      </c>
      <c r="C189" s="1" t="s">
        <v>20</v>
      </c>
      <c r="D189" s="1" t="s">
        <v>18</v>
      </c>
      <c r="E189" s="1" t="n">
        <v>72784.8</v>
      </c>
      <c r="F189" s="1" t="n">
        <v>7932</v>
      </c>
      <c r="G189" s="1" t="n">
        <v>0.094</v>
      </c>
      <c r="H189" s="1" t="n">
        <v>20</v>
      </c>
      <c r="I189" s="1" t="n">
        <v>74.9</v>
      </c>
      <c r="J189" s="1" t="n">
        <v>13.62</v>
      </c>
      <c r="K189" s="1" t="n">
        <v>0</v>
      </c>
      <c r="L189" s="1" t="n">
        <v>4.2</v>
      </c>
      <c r="M189" s="1" t="n">
        <v>712546.38</v>
      </c>
      <c r="N189" s="1" t="n">
        <v>101480.04</v>
      </c>
    </row>
    <row r="190" customFormat="false" ht="15" hidden="false" customHeight="true" outlineLevel="0" collapsed="false">
      <c r="A190" s="1" t="s">
        <v>69</v>
      </c>
      <c r="B190" s="3" t="n">
        <v>45658</v>
      </c>
      <c r="C190" s="1" t="s">
        <v>15</v>
      </c>
      <c r="D190" s="1" t="s">
        <v>18</v>
      </c>
      <c r="E190" s="1" t="n">
        <v>71641.9</v>
      </c>
      <c r="F190" s="1" t="n">
        <v>3506</v>
      </c>
      <c r="G190" s="1" t="n">
        <v>0</v>
      </c>
      <c r="H190" s="1" t="n">
        <v>11</v>
      </c>
      <c r="I190" s="1" t="n">
        <v>86.4</v>
      </c>
      <c r="J190" s="1" t="n">
        <v>7.77</v>
      </c>
      <c r="K190" s="1" t="n">
        <v>0</v>
      </c>
      <c r="L190" s="1" t="n">
        <v>4.1</v>
      </c>
      <c r="M190" s="1" t="n">
        <v>625993.83</v>
      </c>
      <c r="N190" s="1" t="n">
        <v>98960.32</v>
      </c>
    </row>
    <row r="191" customFormat="false" ht="15" hidden="false" customHeight="true" outlineLevel="0" collapsed="false">
      <c r="A191" s="1" t="s">
        <v>69</v>
      </c>
      <c r="B191" s="3" t="n">
        <v>45689</v>
      </c>
      <c r="C191" s="1" t="s">
        <v>15</v>
      </c>
      <c r="D191" s="1" t="s">
        <v>18</v>
      </c>
      <c r="E191" s="1" t="n">
        <v>55788.61</v>
      </c>
      <c r="F191" s="1" t="n">
        <v>2312</v>
      </c>
      <c r="G191" s="1" t="n">
        <v>0.058</v>
      </c>
      <c r="H191" s="1" t="n">
        <v>10</v>
      </c>
      <c r="I191" s="1" t="n">
        <v>91.3</v>
      </c>
      <c r="J191" s="1" t="n">
        <v>1.99</v>
      </c>
      <c r="K191" s="1" t="n">
        <v>0</v>
      </c>
      <c r="L191" s="1" t="n">
        <v>3.8</v>
      </c>
      <c r="M191" s="1" t="n">
        <v>550962.93</v>
      </c>
      <c r="N191" s="1" t="n">
        <v>97144.58</v>
      </c>
    </row>
    <row r="192" customFormat="false" ht="15" hidden="false" customHeight="true" outlineLevel="0" collapsed="false">
      <c r="A192" s="1" t="s">
        <v>69</v>
      </c>
      <c r="B192" s="3" t="n">
        <v>45717</v>
      </c>
      <c r="C192" s="1" t="s">
        <v>15</v>
      </c>
      <c r="D192" s="1" t="s">
        <v>18</v>
      </c>
      <c r="E192" s="1" t="n">
        <v>37705.88</v>
      </c>
      <c r="F192" s="1" t="n">
        <v>1268</v>
      </c>
      <c r="G192" s="1" t="n">
        <v>0.259</v>
      </c>
      <c r="H192" s="1" t="n">
        <v>9</v>
      </c>
      <c r="I192" s="1" t="n">
        <v>84.1</v>
      </c>
      <c r="J192" s="1" t="n">
        <v>4.77</v>
      </c>
      <c r="K192" s="1" t="n">
        <v>0</v>
      </c>
      <c r="L192" s="1" t="n">
        <v>3.8</v>
      </c>
      <c r="M192" s="1" t="n">
        <v>443275.59</v>
      </c>
      <c r="N192" s="1" t="n">
        <v>53544.36</v>
      </c>
    </row>
    <row r="193" customFormat="false" ht="15" hidden="false" customHeight="true" outlineLevel="0" collapsed="false">
      <c r="A193" s="1" t="s">
        <v>69</v>
      </c>
      <c r="B193" s="3" t="n">
        <v>45748</v>
      </c>
      <c r="C193" s="1" t="s">
        <v>15</v>
      </c>
      <c r="D193" s="1" t="s">
        <v>18</v>
      </c>
      <c r="E193" s="1" t="n">
        <v>54966.18</v>
      </c>
      <c r="F193" s="1" t="n">
        <v>4423</v>
      </c>
      <c r="G193" s="1" t="n">
        <v>0.186</v>
      </c>
      <c r="H193" s="1" t="n">
        <v>13</v>
      </c>
      <c r="I193" s="1" t="n">
        <v>88.7</v>
      </c>
      <c r="J193" s="1" t="n">
        <v>0.2</v>
      </c>
      <c r="K193" s="1" t="n">
        <v>0</v>
      </c>
      <c r="L193" s="1" t="n">
        <v>4.4</v>
      </c>
      <c r="M193" s="1" t="n">
        <v>554012.07</v>
      </c>
      <c r="N193" s="1" t="n">
        <v>81101.62</v>
      </c>
    </row>
    <row r="194" customFormat="false" ht="15" hidden="false" customHeight="true" outlineLevel="0" collapsed="false">
      <c r="A194" s="1" t="s">
        <v>70</v>
      </c>
      <c r="B194" s="3" t="n">
        <v>45658</v>
      </c>
      <c r="C194" s="1" t="s">
        <v>27</v>
      </c>
      <c r="D194" s="1" t="s">
        <v>16</v>
      </c>
      <c r="E194" s="1" t="n">
        <v>81796.74</v>
      </c>
      <c r="F194" s="1" t="n">
        <v>6177</v>
      </c>
      <c r="G194" s="1" t="n">
        <v>0.164</v>
      </c>
      <c r="H194" s="1" t="n">
        <v>14</v>
      </c>
      <c r="I194" s="1" t="n">
        <v>87.9</v>
      </c>
      <c r="J194" s="1" t="n">
        <v>0.53</v>
      </c>
      <c r="K194" s="1" t="n">
        <v>0</v>
      </c>
      <c r="L194" s="1" t="n">
        <v>3.2</v>
      </c>
      <c r="M194" s="1" t="n">
        <v>643428.85</v>
      </c>
      <c r="N194" s="1" t="n">
        <v>94477.63</v>
      </c>
    </row>
    <row r="195" customFormat="false" ht="15" hidden="false" customHeight="true" outlineLevel="0" collapsed="false">
      <c r="A195" s="1" t="s">
        <v>70</v>
      </c>
      <c r="B195" s="3" t="n">
        <v>45689</v>
      </c>
      <c r="C195" s="1" t="s">
        <v>27</v>
      </c>
      <c r="D195" s="1" t="s">
        <v>16</v>
      </c>
      <c r="E195" s="1" t="n">
        <v>51133.43</v>
      </c>
      <c r="F195" s="1" t="n">
        <v>5150</v>
      </c>
      <c r="G195" s="1" t="n">
        <v>0.15</v>
      </c>
      <c r="H195" s="1" t="n">
        <v>12</v>
      </c>
      <c r="I195" s="1" t="n">
        <v>88.5</v>
      </c>
      <c r="J195" s="1" t="n">
        <v>1.54</v>
      </c>
      <c r="K195" s="1" t="n">
        <v>0</v>
      </c>
      <c r="L195" s="1" t="n">
        <v>3.2</v>
      </c>
      <c r="M195" s="1" t="n">
        <v>611924.27</v>
      </c>
      <c r="N195" s="1" t="n">
        <v>115488.75</v>
      </c>
    </row>
    <row r="196" customFormat="false" ht="15" hidden="false" customHeight="true" outlineLevel="0" collapsed="false">
      <c r="A196" s="1" t="s">
        <v>70</v>
      </c>
      <c r="B196" s="3" t="n">
        <v>45717</v>
      </c>
      <c r="C196" s="1" t="s">
        <v>27</v>
      </c>
      <c r="D196" s="1" t="s">
        <v>16</v>
      </c>
      <c r="E196" s="1" t="n">
        <v>40220.18</v>
      </c>
      <c r="F196" s="1" t="n">
        <v>3783</v>
      </c>
      <c r="G196" s="1" t="n">
        <v>0.089</v>
      </c>
      <c r="H196" s="1" t="n">
        <v>14</v>
      </c>
      <c r="I196" s="1" t="n">
        <v>86.6</v>
      </c>
      <c r="J196" s="1" t="n">
        <v>3.63</v>
      </c>
      <c r="K196" s="1" t="n">
        <v>0</v>
      </c>
      <c r="L196" s="1" t="n">
        <v>3.7</v>
      </c>
      <c r="M196" s="1" t="n">
        <v>559422.02</v>
      </c>
      <c r="N196" s="1" t="n">
        <v>73528.74</v>
      </c>
    </row>
    <row r="197" customFormat="false" ht="15" hidden="false" customHeight="true" outlineLevel="0" collapsed="false">
      <c r="A197" s="1" t="s">
        <v>70</v>
      </c>
      <c r="B197" s="3" t="n">
        <v>45748</v>
      </c>
      <c r="C197" s="1" t="s">
        <v>27</v>
      </c>
      <c r="D197" s="1" t="s">
        <v>16</v>
      </c>
      <c r="E197" s="1" t="n">
        <v>41657.64</v>
      </c>
      <c r="F197" s="1" t="n">
        <v>3135</v>
      </c>
      <c r="G197" s="1" t="n">
        <v>0.229</v>
      </c>
      <c r="H197" s="1" t="n">
        <v>7</v>
      </c>
      <c r="I197" s="1" t="n">
        <v>85.4</v>
      </c>
      <c r="J197" s="1" t="n">
        <v>13.48</v>
      </c>
      <c r="K197" s="1" t="n">
        <v>0</v>
      </c>
      <c r="M197" s="1" t="n">
        <v>449465.06</v>
      </c>
      <c r="N197" s="1" t="n">
        <v>65694.78</v>
      </c>
    </row>
    <row r="198" customFormat="false" ht="15" hidden="false" customHeight="true" outlineLevel="0" collapsed="false">
      <c r="A198" s="1" t="s">
        <v>71</v>
      </c>
      <c r="B198" s="3" t="n">
        <v>45658</v>
      </c>
      <c r="C198" s="1" t="s">
        <v>20</v>
      </c>
      <c r="D198" s="1" t="s">
        <v>16</v>
      </c>
      <c r="E198" s="1" t="n">
        <v>71851.45</v>
      </c>
      <c r="F198" s="1" t="n">
        <v>4970</v>
      </c>
      <c r="G198" s="1" t="n">
        <v>0.098</v>
      </c>
      <c r="H198" s="1" t="n">
        <v>11</v>
      </c>
      <c r="I198" s="1" t="n">
        <v>89.6</v>
      </c>
      <c r="J198" s="1" t="n">
        <v>0.2</v>
      </c>
      <c r="K198" s="1" t="n">
        <v>0</v>
      </c>
      <c r="L198" s="1" t="n">
        <v>4.2</v>
      </c>
      <c r="M198" s="1" t="n">
        <v>691447.43</v>
      </c>
      <c r="N198" s="1" t="n">
        <v>114077.69</v>
      </c>
    </row>
    <row r="199" customFormat="false" ht="15" hidden="false" customHeight="true" outlineLevel="0" collapsed="false">
      <c r="A199" s="1" t="s">
        <v>71</v>
      </c>
      <c r="B199" s="3" t="n">
        <v>45689</v>
      </c>
      <c r="C199" s="1" t="s">
        <v>20</v>
      </c>
      <c r="D199" s="1" t="s">
        <v>16</v>
      </c>
      <c r="E199" s="1" t="n">
        <v>54002.83</v>
      </c>
      <c r="F199" s="1" t="n">
        <v>4366</v>
      </c>
      <c r="G199" s="1" t="n">
        <v>0.027</v>
      </c>
      <c r="H199" s="1" t="n">
        <v>15</v>
      </c>
      <c r="I199" s="1" t="n">
        <v>90.6</v>
      </c>
      <c r="J199" s="1" t="n">
        <v>12.82</v>
      </c>
      <c r="K199" s="1" t="n">
        <v>0</v>
      </c>
      <c r="L199" s="1" t="n">
        <v>4.6</v>
      </c>
      <c r="M199" s="1" t="n">
        <v>574066.61</v>
      </c>
      <c r="N199" s="1" t="n">
        <v>124674.67</v>
      </c>
    </row>
    <row r="200" customFormat="false" ht="15" hidden="false" customHeight="true" outlineLevel="0" collapsed="false">
      <c r="A200" s="1" t="s">
        <v>71</v>
      </c>
      <c r="B200" s="3" t="n">
        <v>45717</v>
      </c>
      <c r="C200" s="1" t="s">
        <v>20</v>
      </c>
      <c r="D200" s="1" t="s">
        <v>16</v>
      </c>
      <c r="E200" s="1" t="n">
        <v>54479.33</v>
      </c>
      <c r="F200" s="1" t="n">
        <v>5012</v>
      </c>
      <c r="G200" s="1" t="n">
        <v>0.284</v>
      </c>
      <c r="H200" s="1" t="n">
        <v>13</v>
      </c>
      <c r="I200" s="1" t="n">
        <v>86</v>
      </c>
      <c r="J200" s="1" t="n">
        <v>2.24</v>
      </c>
      <c r="K200" s="1" t="n">
        <v>1</v>
      </c>
      <c r="L200" s="1" t="n">
        <v>4.3</v>
      </c>
      <c r="M200" s="1" t="n">
        <v>578949.84</v>
      </c>
      <c r="N200" s="1" t="n">
        <v>80253.65</v>
      </c>
    </row>
    <row r="201" customFormat="false" ht="15" hidden="false" customHeight="true" outlineLevel="0" collapsed="false">
      <c r="A201" s="1" t="s">
        <v>71</v>
      </c>
      <c r="B201" s="3" t="n">
        <v>45748</v>
      </c>
      <c r="C201" s="1" t="s">
        <v>20</v>
      </c>
      <c r="D201" s="1" t="s">
        <v>16</v>
      </c>
      <c r="E201" s="1" t="n">
        <v>61391.8</v>
      </c>
      <c r="F201" s="1" t="n">
        <v>5575</v>
      </c>
      <c r="G201" s="1" t="n">
        <v>0.189</v>
      </c>
      <c r="H201" s="1" t="n">
        <v>18</v>
      </c>
      <c r="I201" s="1" t="n">
        <v>90</v>
      </c>
      <c r="J201" s="1" t="n">
        <v>1.8</v>
      </c>
      <c r="K201" s="1" t="n">
        <v>0</v>
      </c>
      <c r="L201" s="1" t="n">
        <v>4.8</v>
      </c>
      <c r="M201" s="1" t="n">
        <v>735786.64</v>
      </c>
      <c r="N201" s="1" t="n">
        <v>126540.66</v>
      </c>
    </row>
    <row r="202" customFormat="false" ht="15" hidden="false" customHeight="true" outlineLevel="0" collapsed="false">
      <c r="A202" s="1" t="s">
        <v>72</v>
      </c>
      <c r="B202" s="3" t="n">
        <v>45658</v>
      </c>
      <c r="C202" s="1" t="s">
        <v>15</v>
      </c>
      <c r="D202" s="1" t="s">
        <v>21</v>
      </c>
      <c r="E202" s="1" t="n">
        <v>22312.93</v>
      </c>
      <c r="F202" s="1" t="n">
        <v>5955</v>
      </c>
      <c r="G202" s="1" t="n">
        <v>0.123</v>
      </c>
      <c r="H202" s="1" t="n">
        <v>13</v>
      </c>
      <c r="I202" s="1" t="n">
        <v>84.2</v>
      </c>
      <c r="J202" s="1" t="n">
        <v>0.41</v>
      </c>
      <c r="K202" s="1" t="n">
        <v>1</v>
      </c>
      <c r="L202" s="1" t="n">
        <v>4.6</v>
      </c>
      <c r="M202" s="1" t="n">
        <v>598904.9</v>
      </c>
      <c r="N202" s="1" t="n">
        <v>72861</v>
      </c>
    </row>
    <row r="203" customFormat="false" ht="15" hidden="false" customHeight="true" outlineLevel="0" collapsed="false">
      <c r="A203" s="1" t="s">
        <v>72</v>
      </c>
      <c r="B203" s="3" t="n">
        <v>45689</v>
      </c>
      <c r="C203" s="1" t="s">
        <v>15</v>
      </c>
      <c r="D203" s="1" t="s">
        <v>21</v>
      </c>
      <c r="E203" s="1" t="n">
        <v>78111.97</v>
      </c>
      <c r="F203" s="1" t="n">
        <v>6389</v>
      </c>
      <c r="G203" s="1" t="n">
        <v>0.15</v>
      </c>
      <c r="H203" s="1" t="n">
        <v>13</v>
      </c>
      <c r="I203" s="1" t="n">
        <v>83.9</v>
      </c>
      <c r="J203" s="1" t="n">
        <v>3.05</v>
      </c>
      <c r="K203" s="1" t="n">
        <v>0</v>
      </c>
      <c r="L203" s="1" t="n">
        <v>4.8</v>
      </c>
      <c r="M203" s="1" t="n">
        <v>787715.51</v>
      </c>
      <c r="N203" s="1" t="n">
        <v>128969.62</v>
      </c>
    </row>
    <row r="204" customFormat="false" ht="15" hidden="false" customHeight="true" outlineLevel="0" collapsed="false">
      <c r="A204" s="1" t="s">
        <v>72</v>
      </c>
      <c r="B204" s="3" t="n">
        <v>45717</v>
      </c>
      <c r="C204" s="1" t="s">
        <v>15</v>
      </c>
      <c r="D204" s="1" t="s">
        <v>21</v>
      </c>
      <c r="E204" s="1" t="n">
        <v>35203.23</v>
      </c>
      <c r="F204" s="1" t="n">
        <v>6896</v>
      </c>
      <c r="G204" s="1" t="n">
        <v>0.032</v>
      </c>
      <c r="H204" s="1" t="n">
        <v>14</v>
      </c>
      <c r="I204" s="1" t="n">
        <v>80.8</v>
      </c>
      <c r="J204" s="1" t="n">
        <v>8.44</v>
      </c>
      <c r="K204" s="1" t="n">
        <v>1</v>
      </c>
      <c r="L204" s="1" t="n">
        <v>5</v>
      </c>
      <c r="M204" s="1" t="n">
        <v>607084.92</v>
      </c>
      <c r="N204" s="1" t="n">
        <v>98558.49</v>
      </c>
    </row>
    <row r="205" customFormat="false" ht="15" hidden="false" customHeight="true" outlineLevel="0" collapsed="false">
      <c r="A205" s="1" t="s">
        <v>72</v>
      </c>
      <c r="B205" s="3" t="n">
        <v>45748</v>
      </c>
      <c r="C205" s="1" t="s">
        <v>15</v>
      </c>
      <c r="D205" s="1" t="s">
        <v>21</v>
      </c>
      <c r="E205" s="1" t="n">
        <v>64104.28</v>
      </c>
      <c r="F205" s="1" t="n">
        <v>6015</v>
      </c>
      <c r="G205" s="1" t="n">
        <v>0.127</v>
      </c>
      <c r="H205" s="1" t="n">
        <v>15</v>
      </c>
      <c r="I205" s="1" t="n">
        <v>88.7</v>
      </c>
      <c r="J205" s="1" t="n">
        <v>0.78</v>
      </c>
      <c r="K205" s="1" t="n">
        <v>0</v>
      </c>
      <c r="L205" s="1" t="n">
        <v>4</v>
      </c>
      <c r="M205" s="1" t="n">
        <v>650795.49</v>
      </c>
      <c r="N205" s="1" t="n">
        <v>103035.89</v>
      </c>
    </row>
    <row r="206" customFormat="false" ht="15" hidden="false" customHeight="true" outlineLevel="0" collapsed="false">
      <c r="A206" s="1" t="s">
        <v>73</v>
      </c>
      <c r="B206" s="3" t="n">
        <v>45658</v>
      </c>
      <c r="C206" s="1" t="s">
        <v>15</v>
      </c>
      <c r="D206" s="1" t="s">
        <v>28</v>
      </c>
      <c r="E206" s="1" t="n">
        <v>92090.14</v>
      </c>
      <c r="F206" s="1" t="n">
        <v>9476</v>
      </c>
      <c r="G206" s="1" t="n">
        <v>0.07</v>
      </c>
      <c r="H206" s="1" t="n">
        <v>24</v>
      </c>
      <c r="I206" s="1" t="n">
        <v>94.3</v>
      </c>
      <c r="J206" s="1" t="n">
        <v>0.87</v>
      </c>
      <c r="K206" s="1" t="n">
        <v>0</v>
      </c>
      <c r="L206" s="1" t="n">
        <v>3.7</v>
      </c>
      <c r="M206" s="1" t="n">
        <v>825060.52</v>
      </c>
      <c r="N206" s="1" t="n">
        <v>143613.15</v>
      </c>
    </row>
    <row r="207" customFormat="false" ht="15" hidden="false" customHeight="true" outlineLevel="0" collapsed="false">
      <c r="A207" s="1" t="s">
        <v>73</v>
      </c>
      <c r="B207" s="3" t="n">
        <v>45689</v>
      </c>
      <c r="C207" s="1" t="s">
        <v>15</v>
      </c>
      <c r="D207" s="1" t="s">
        <v>28</v>
      </c>
      <c r="E207" s="1" t="n">
        <v>54300.87</v>
      </c>
      <c r="F207" s="1" t="n">
        <v>7875</v>
      </c>
      <c r="G207" s="1" t="n">
        <v>0.107</v>
      </c>
      <c r="H207" s="1" t="n">
        <v>19</v>
      </c>
      <c r="I207" s="1" t="n">
        <v>94.1</v>
      </c>
      <c r="J207" s="1" t="n">
        <v>0.95</v>
      </c>
      <c r="K207" s="1" t="n">
        <v>0</v>
      </c>
      <c r="L207" s="1" t="n">
        <v>3.7</v>
      </c>
      <c r="M207" s="1" t="n">
        <v>795464.47</v>
      </c>
      <c r="N207" s="1" t="n">
        <v>161150.52</v>
      </c>
    </row>
    <row r="208" customFormat="false" ht="15" hidden="false" customHeight="true" outlineLevel="0" collapsed="false">
      <c r="A208" s="1" t="s">
        <v>73</v>
      </c>
      <c r="B208" s="3" t="n">
        <v>45717</v>
      </c>
      <c r="C208" s="1" t="s">
        <v>15</v>
      </c>
      <c r="D208" s="1" t="s">
        <v>28</v>
      </c>
      <c r="E208" s="1" t="n">
        <v>37983.35</v>
      </c>
      <c r="F208" s="1" t="n">
        <v>9283</v>
      </c>
      <c r="G208" s="1" t="n">
        <v>0.149</v>
      </c>
      <c r="H208" s="1" t="n">
        <v>19</v>
      </c>
      <c r="I208" s="1" t="n">
        <v>83.2</v>
      </c>
      <c r="J208" s="1" t="n">
        <v>3.82</v>
      </c>
      <c r="K208" s="1" t="n">
        <v>0</v>
      </c>
      <c r="L208" s="1" t="n">
        <v>3.7</v>
      </c>
      <c r="M208" s="1" t="n">
        <v>671868.59</v>
      </c>
      <c r="N208" s="1" t="n">
        <v>71003.28</v>
      </c>
    </row>
    <row r="209" customFormat="false" ht="15" hidden="false" customHeight="true" outlineLevel="0" collapsed="false">
      <c r="A209" s="1" t="s">
        <v>73</v>
      </c>
      <c r="B209" s="3" t="n">
        <v>45748</v>
      </c>
      <c r="C209" s="1" t="s">
        <v>15</v>
      </c>
      <c r="D209" s="1" t="s">
        <v>28</v>
      </c>
      <c r="E209" s="1" t="n">
        <v>56413.83</v>
      </c>
      <c r="F209" s="1" t="n">
        <v>8303</v>
      </c>
      <c r="G209" s="1" t="n">
        <v>0.116</v>
      </c>
      <c r="H209" s="1" t="n">
        <v>18</v>
      </c>
      <c r="I209" s="1" t="n">
        <v>93.6</v>
      </c>
      <c r="J209" s="1" t="n">
        <v>2.7</v>
      </c>
      <c r="K209" s="1" t="n">
        <v>0</v>
      </c>
      <c r="L209" s="1" t="n">
        <v>3.7</v>
      </c>
      <c r="M209" s="1" t="n">
        <v>675917.63</v>
      </c>
      <c r="N209" s="1" t="n">
        <v>112564.75</v>
      </c>
    </row>
    <row r="210" customFormat="false" ht="15" hidden="false" customHeight="true" outlineLevel="0" collapsed="false">
      <c r="A210" s="1" t="s">
        <v>74</v>
      </c>
      <c r="B210" s="3" t="n">
        <v>45658</v>
      </c>
      <c r="C210" s="1" t="s">
        <v>15</v>
      </c>
      <c r="D210" s="1" t="s">
        <v>18</v>
      </c>
      <c r="E210" s="1" t="n">
        <v>63457.19</v>
      </c>
      <c r="F210" s="1" t="n">
        <v>10125</v>
      </c>
      <c r="G210" s="1" t="n">
        <v>0.097</v>
      </c>
      <c r="H210" s="1" t="n">
        <v>24</v>
      </c>
      <c r="I210" s="1" t="n">
        <v>87</v>
      </c>
      <c r="J210" s="1" t="n">
        <v>3.84</v>
      </c>
      <c r="K210" s="1" t="n">
        <v>1</v>
      </c>
      <c r="L210" s="1" t="n">
        <v>3.7</v>
      </c>
      <c r="M210" s="1" t="n">
        <v>810446.53</v>
      </c>
      <c r="N210" s="1" t="n">
        <v>200575.34</v>
      </c>
    </row>
    <row r="211" customFormat="false" ht="15" hidden="false" customHeight="true" outlineLevel="0" collapsed="false">
      <c r="A211" s="1" t="s">
        <v>74</v>
      </c>
      <c r="B211" s="3" t="n">
        <v>45689</v>
      </c>
      <c r="C211" s="1" t="s">
        <v>15</v>
      </c>
      <c r="D211" s="1" t="s">
        <v>18</v>
      </c>
      <c r="E211" s="1" t="n">
        <v>62949.7</v>
      </c>
      <c r="F211" s="1" t="n">
        <v>9458</v>
      </c>
      <c r="G211" s="1" t="n">
        <v>0.171</v>
      </c>
      <c r="H211" s="1" t="n">
        <v>19</v>
      </c>
      <c r="I211" s="1" t="n">
        <v>84.9</v>
      </c>
      <c r="J211" s="1" t="n">
        <v>5.09</v>
      </c>
      <c r="K211" s="1" t="n">
        <v>0</v>
      </c>
      <c r="L211" s="1" t="n">
        <v>3.3</v>
      </c>
      <c r="M211" s="1" t="n">
        <v>691288.19</v>
      </c>
      <c r="N211" s="1" t="n">
        <v>159074.14</v>
      </c>
    </row>
    <row r="212" customFormat="false" ht="15" hidden="false" customHeight="true" outlineLevel="0" collapsed="false">
      <c r="A212" s="1" t="s">
        <v>74</v>
      </c>
      <c r="B212" s="3" t="n">
        <v>45717</v>
      </c>
      <c r="C212" s="1" t="s">
        <v>15</v>
      </c>
      <c r="D212" s="1" t="s">
        <v>18</v>
      </c>
      <c r="E212" s="1" t="n">
        <v>107970.19</v>
      </c>
      <c r="F212" s="1" t="n">
        <v>12870</v>
      </c>
      <c r="G212" s="1" t="n">
        <v>0.029</v>
      </c>
      <c r="H212" s="1" t="n">
        <v>31</v>
      </c>
      <c r="I212" s="1" t="n">
        <v>91.7</v>
      </c>
      <c r="J212" s="1" t="n">
        <v>3.82</v>
      </c>
      <c r="K212" s="1" t="n">
        <v>1</v>
      </c>
      <c r="L212" s="1" t="n">
        <v>3.7</v>
      </c>
      <c r="M212" s="1" t="n">
        <v>946833.54</v>
      </c>
      <c r="N212" s="1" t="n">
        <v>184540.31</v>
      </c>
    </row>
    <row r="213" customFormat="false" ht="15" hidden="false" customHeight="true" outlineLevel="0" collapsed="false">
      <c r="A213" s="1" t="s">
        <v>74</v>
      </c>
      <c r="B213" s="3" t="n">
        <v>45748</v>
      </c>
      <c r="C213" s="1" t="s">
        <v>15</v>
      </c>
      <c r="D213" s="1" t="s">
        <v>18</v>
      </c>
      <c r="E213" s="1" t="n">
        <v>49405.75</v>
      </c>
      <c r="F213" s="1" t="n">
        <v>9752</v>
      </c>
      <c r="G213" s="1" t="n">
        <v>0.093</v>
      </c>
      <c r="H213" s="1" t="n">
        <v>21</v>
      </c>
      <c r="I213" s="1" t="n">
        <v>87</v>
      </c>
      <c r="J213" s="1" t="n">
        <v>12.28</v>
      </c>
      <c r="K213" s="1" t="n">
        <v>0</v>
      </c>
      <c r="L213" s="1" t="n">
        <v>4.1</v>
      </c>
      <c r="M213" s="1" t="n">
        <v>761963.23</v>
      </c>
      <c r="N213" s="1" t="n">
        <v>150113.61</v>
      </c>
    </row>
    <row r="214" customFormat="false" ht="15" hidden="false" customHeight="true" outlineLevel="0" collapsed="false">
      <c r="A214" s="1" t="s">
        <v>75</v>
      </c>
      <c r="B214" s="3" t="n">
        <v>45658</v>
      </c>
      <c r="C214" s="1" t="s">
        <v>27</v>
      </c>
      <c r="D214" s="1" t="s">
        <v>16</v>
      </c>
      <c r="E214" s="1" t="n">
        <v>50887.46</v>
      </c>
      <c r="F214" s="1" t="n">
        <v>9505</v>
      </c>
      <c r="G214" s="1" t="n">
        <v>0.091</v>
      </c>
      <c r="H214" s="1" t="n">
        <v>25</v>
      </c>
      <c r="I214" s="1" t="n">
        <v>89.7</v>
      </c>
      <c r="J214" s="1" t="n">
        <v>2.8</v>
      </c>
      <c r="K214" s="1" t="n">
        <v>0</v>
      </c>
      <c r="L214" s="1" t="n">
        <v>4.3</v>
      </c>
      <c r="M214" s="1" t="n">
        <v>812152.6</v>
      </c>
      <c r="N214" s="1" t="n">
        <v>138419.43</v>
      </c>
    </row>
    <row r="215" customFormat="false" ht="15" hidden="false" customHeight="true" outlineLevel="0" collapsed="false">
      <c r="A215" s="1" t="s">
        <v>75</v>
      </c>
      <c r="B215" s="3" t="n">
        <v>45689</v>
      </c>
      <c r="C215" s="1" t="s">
        <v>27</v>
      </c>
      <c r="D215" s="1" t="s">
        <v>16</v>
      </c>
      <c r="E215" s="1" t="n">
        <v>41819.45</v>
      </c>
      <c r="F215" s="1" t="n">
        <v>9412</v>
      </c>
      <c r="G215" s="1" t="n">
        <v>0.15</v>
      </c>
      <c r="H215" s="1" t="n">
        <v>22</v>
      </c>
      <c r="I215" s="1" t="n">
        <v>91</v>
      </c>
      <c r="J215" s="1" t="n">
        <v>3.67</v>
      </c>
      <c r="K215" s="1" t="n">
        <v>0</v>
      </c>
      <c r="L215" s="1" t="n">
        <v>4.2</v>
      </c>
      <c r="M215" s="1" t="n">
        <v>804975.5</v>
      </c>
      <c r="N215" s="1" t="n">
        <v>140054.5</v>
      </c>
    </row>
    <row r="216" customFormat="false" ht="15" hidden="false" customHeight="true" outlineLevel="0" collapsed="false">
      <c r="A216" s="1" t="s">
        <v>75</v>
      </c>
      <c r="B216" s="3" t="n">
        <v>45717</v>
      </c>
      <c r="C216" s="1" t="s">
        <v>27</v>
      </c>
      <c r="D216" s="1" t="s">
        <v>16</v>
      </c>
      <c r="E216" s="1" t="n">
        <v>35296.54</v>
      </c>
      <c r="F216" s="1" t="n">
        <v>9644</v>
      </c>
      <c r="G216" s="1" t="n">
        <v>0</v>
      </c>
      <c r="H216" s="1" t="n">
        <v>22</v>
      </c>
      <c r="I216" s="1" t="n">
        <v>88</v>
      </c>
      <c r="J216" s="1" t="n">
        <v>2.81</v>
      </c>
      <c r="K216" s="1" t="n">
        <v>0</v>
      </c>
      <c r="L216" s="1" t="n">
        <v>4.7</v>
      </c>
      <c r="M216" s="1" t="n">
        <v>752321.72</v>
      </c>
      <c r="N216" s="1" t="n">
        <v>137788.51</v>
      </c>
    </row>
    <row r="217" customFormat="false" ht="15" hidden="false" customHeight="true" outlineLevel="0" collapsed="false">
      <c r="A217" s="1" t="s">
        <v>75</v>
      </c>
      <c r="B217" s="3" t="n">
        <v>45748</v>
      </c>
      <c r="C217" s="1" t="s">
        <v>27</v>
      </c>
      <c r="D217" s="1" t="s">
        <v>16</v>
      </c>
      <c r="E217" s="1" t="n">
        <v>47391.09</v>
      </c>
      <c r="F217" s="1" t="n">
        <v>11224</v>
      </c>
      <c r="G217" s="1" t="n">
        <v>0.147</v>
      </c>
      <c r="H217" s="1" t="n">
        <v>25</v>
      </c>
      <c r="I217" s="1" t="n">
        <v>88.4</v>
      </c>
      <c r="J217" s="1" t="n">
        <v>2.44</v>
      </c>
      <c r="K217" s="1" t="n">
        <v>0</v>
      </c>
      <c r="L217" s="1" t="n">
        <v>4.9</v>
      </c>
      <c r="M217" s="1" t="n">
        <v>836908.24</v>
      </c>
      <c r="N217" s="1" t="n">
        <v>141090.26</v>
      </c>
    </row>
    <row r="218" customFormat="false" ht="15" hidden="false" customHeight="true" outlineLevel="0" collapsed="false">
      <c r="A218" s="1" t="s">
        <v>76</v>
      </c>
      <c r="B218" s="3" t="n">
        <v>45658</v>
      </c>
      <c r="C218" s="1" t="s">
        <v>20</v>
      </c>
      <c r="D218" s="1" t="s">
        <v>21</v>
      </c>
      <c r="E218" s="1" t="n">
        <v>69180.54</v>
      </c>
      <c r="F218" s="1" t="n">
        <v>5394</v>
      </c>
      <c r="G218" s="1" t="n">
        <v>0.126</v>
      </c>
      <c r="H218" s="1" t="n">
        <v>12</v>
      </c>
      <c r="I218" s="1" t="n">
        <v>82.9</v>
      </c>
      <c r="J218" s="1" t="n">
        <v>3.27</v>
      </c>
      <c r="K218" s="1" t="n">
        <v>0</v>
      </c>
      <c r="L218" s="1" t="n">
        <v>3.3</v>
      </c>
      <c r="M218" s="1" t="n">
        <v>674289.1</v>
      </c>
      <c r="N218" s="1" t="n">
        <v>117773.79</v>
      </c>
    </row>
    <row r="219" customFormat="false" ht="15" hidden="false" customHeight="true" outlineLevel="0" collapsed="false">
      <c r="A219" s="1" t="s">
        <v>76</v>
      </c>
      <c r="B219" s="3" t="n">
        <v>45689</v>
      </c>
      <c r="C219" s="1" t="s">
        <v>20</v>
      </c>
      <c r="D219" s="1" t="s">
        <v>21</v>
      </c>
      <c r="E219" s="1" t="n">
        <v>33987.33</v>
      </c>
      <c r="F219" s="1" t="n">
        <v>5014</v>
      </c>
      <c r="G219" s="1" t="n">
        <v>0.246</v>
      </c>
      <c r="H219" s="1" t="n">
        <v>17</v>
      </c>
      <c r="I219" s="1" t="n">
        <v>94.3</v>
      </c>
      <c r="J219" s="1" t="n">
        <v>10.34</v>
      </c>
      <c r="K219" s="1" t="n">
        <v>0</v>
      </c>
      <c r="L219" s="1" t="n">
        <v>3.9</v>
      </c>
      <c r="M219" s="1" t="n">
        <v>622892.42</v>
      </c>
      <c r="N219" s="1" t="n">
        <v>101032.52</v>
      </c>
    </row>
    <row r="220" customFormat="false" ht="15" hidden="false" customHeight="true" outlineLevel="0" collapsed="false">
      <c r="A220" s="1" t="s">
        <v>76</v>
      </c>
      <c r="B220" s="3" t="n">
        <v>45717</v>
      </c>
      <c r="C220" s="1" t="s">
        <v>20</v>
      </c>
      <c r="D220" s="1" t="s">
        <v>21</v>
      </c>
      <c r="E220" s="1" t="n">
        <v>58785.33</v>
      </c>
      <c r="F220" s="1" t="n">
        <v>4467</v>
      </c>
      <c r="G220" s="1" t="n">
        <v>0.229</v>
      </c>
      <c r="H220" s="1" t="n">
        <v>14</v>
      </c>
      <c r="I220" s="1" t="n">
        <v>90.7</v>
      </c>
      <c r="J220" s="1" t="n">
        <v>1.92</v>
      </c>
      <c r="K220" s="1" t="n">
        <v>0</v>
      </c>
      <c r="L220" s="1" t="n">
        <v>3.7</v>
      </c>
      <c r="M220" s="1" t="n">
        <v>673348.56</v>
      </c>
      <c r="N220" s="1" t="n">
        <v>69464.59</v>
      </c>
    </row>
    <row r="221" customFormat="false" ht="15" hidden="false" customHeight="true" outlineLevel="0" collapsed="false">
      <c r="A221" s="1" t="s">
        <v>76</v>
      </c>
      <c r="B221" s="3" t="n">
        <v>45748</v>
      </c>
      <c r="C221" s="1" t="s">
        <v>20</v>
      </c>
      <c r="D221" s="1" t="s">
        <v>21</v>
      </c>
      <c r="E221" s="1" t="n">
        <v>16451.85</v>
      </c>
      <c r="F221" s="1" t="n">
        <v>4678</v>
      </c>
      <c r="G221" s="1" t="n">
        <v>0.133</v>
      </c>
      <c r="H221" s="1" t="n">
        <v>11</v>
      </c>
      <c r="I221" s="1" t="n">
        <v>95.9</v>
      </c>
      <c r="J221" s="1" t="n">
        <v>3.1</v>
      </c>
      <c r="K221" s="1" t="n">
        <v>0</v>
      </c>
      <c r="L221" s="1" t="n">
        <v>3.9</v>
      </c>
      <c r="M221" s="1" t="n">
        <v>606278.3</v>
      </c>
      <c r="N221" s="1" t="n">
        <v>102213.26</v>
      </c>
    </row>
    <row r="222" customFormat="false" ht="15" hidden="false" customHeight="true" outlineLevel="0" collapsed="false">
      <c r="A222" s="1" t="s">
        <v>77</v>
      </c>
      <c r="B222" s="3" t="n">
        <v>45658</v>
      </c>
      <c r="C222" s="1" t="s">
        <v>15</v>
      </c>
      <c r="D222" s="1" t="s">
        <v>18</v>
      </c>
      <c r="E222" s="1" t="n">
        <v>53367.73</v>
      </c>
      <c r="F222" s="1" t="n">
        <v>7291</v>
      </c>
      <c r="G222" s="1" t="n">
        <v>0.146</v>
      </c>
      <c r="H222" s="1" t="n">
        <v>18</v>
      </c>
      <c r="I222" s="1" t="n">
        <v>90.6</v>
      </c>
      <c r="J222" s="1" t="n">
        <v>6.34</v>
      </c>
      <c r="K222" s="1" t="n">
        <v>1</v>
      </c>
      <c r="L222" s="1" t="n">
        <v>3.8</v>
      </c>
      <c r="M222" s="1" t="n">
        <v>712219.81</v>
      </c>
      <c r="N222" s="1" t="n">
        <v>85906.54</v>
      </c>
    </row>
    <row r="223" customFormat="false" ht="15" hidden="false" customHeight="true" outlineLevel="0" collapsed="false">
      <c r="A223" s="1" t="s">
        <v>77</v>
      </c>
      <c r="B223" s="3" t="n">
        <v>45689</v>
      </c>
      <c r="C223" s="1" t="s">
        <v>15</v>
      </c>
      <c r="D223" s="1" t="s">
        <v>18</v>
      </c>
      <c r="E223" s="1" t="n">
        <v>27194.64</v>
      </c>
      <c r="F223" s="1" t="n">
        <v>7404</v>
      </c>
      <c r="G223" s="1" t="n">
        <v>0.088</v>
      </c>
      <c r="H223" s="1" t="n">
        <v>18</v>
      </c>
      <c r="I223" s="1" t="n">
        <v>90.2</v>
      </c>
      <c r="J223" s="1" t="n">
        <v>1.2</v>
      </c>
      <c r="K223" s="1" t="n">
        <v>0</v>
      </c>
      <c r="L223" s="1" t="n">
        <v>3.4</v>
      </c>
      <c r="M223" s="1" t="n">
        <v>672670.54</v>
      </c>
      <c r="N223" s="1" t="n">
        <v>132684.18</v>
      </c>
    </row>
    <row r="224" customFormat="false" ht="15" hidden="false" customHeight="true" outlineLevel="0" collapsed="false">
      <c r="A224" s="1" t="s">
        <v>77</v>
      </c>
      <c r="B224" s="3" t="n">
        <v>45717</v>
      </c>
      <c r="C224" s="1" t="s">
        <v>15</v>
      </c>
      <c r="D224" s="1" t="s">
        <v>18</v>
      </c>
      <c r="E224" s="1" t="n">
        <v>66962.74</v>
      </c>
      <c r="F224" s="1" t="n">
        <v>7880</v>
      </c>
      <c r="G224" s="1" t="n">
        <v>0.116</v>
      </c>
      <c r="H224" s="1" t="n">
        <v>19</v>
      </c>
      <c r="I224" s="1" t="n">
        <v>90.4</v>
      </c>
      <c r="J224" s="1" t="n">
        <v>4.5</v>
      </c>
      <c r="K224" s="1" t="n">
        <v>0</v>
      </c>
      <c r="L224" s="1" t="n">
        <v>3.3</v>
      </c>
      <c r="M224" s="1" t="n">
        <v>732667.92</v>
      </c>
      <c r="N224" s="1" t="n">
        <v>128654.46</v>
      </c>
    </row>
    <row r="225" customFormat="false" ht="15" hidden="false" customHeight="true" outlineLevel="0" collapsed="false">
      <c r="A225" s="1" t="s">
        <v>77</v>
      </c>
      <c r="B225" s="3" t="n">
        <v>45748</v>
      </c>
      <c r="C225" s="1" t="s">
        <v>15</v>
      </c>
      <c r="D225" s="1" t="s">
        <v>18</v>
      </c>
      <c r="E225" s="1" t="n">
        <v>73540.99</v>
      </c>
      <c r="F225" s="1" t="n">
        <v>8773</v>
      </c>
      <c r="G225" s="1" t="n">
        <v>0.035</v>
      </c>
      <c r="H225" s="1" t="n">
        <v>21</v>
      </c>
      <c r="I225" s="1" t="n">
        <v>84.4</v>
      </c>
      <c r="J225" s="1" t="n">
        <v>6.68</v>
      </c>
      <c r="K225" s="1" t="n">
        <v>0</v>
      </c>
      <c r="L225" s="1" t="n">
        <v>3.6</v>
      </c>
      <c r="M225" s="1" t="n">
        <v>723531.4</v>
      </c>
      <c r="N225" s="1" t="n">
        <v>108794.85</v>
      </c>
    </row>
    <row r="226" customFormat="false" ht="15" hidden="false" customHeight="true" outlineLevel="0" collapsed="false">
      <c r="A226" s="1" t="s">
        <v>78</v>
      </c>
      <c r="B226" s="3" t="n">
        <v>45658</v>
      </c>
      <c r="C226" s="1" t="s">
        <v>15</v>
      </c>
      <c r="D226" s="1" t="s">
        <v>28</v>
      </c>
      <c r="E226" s="1" t="n">
        <v>68212.29</v>
      </c>
      <c r="F226" s="1" t="n">
        <v>4713</v>
      </c>
      <c r="G226" s="1" t="n">
        <v>0.198</v>
      </c>
      <c r="H226" s="1" t="n">
        <v>15</v>
      </c>
      <c r="I226" s="1" t="n">
        <v>82.6</v>
      </c>
      <c r="J226" s="1" t="n">
        <v>4.07</v>
      </c>
      <c r="K226" s="1" t="n">
        <v>1</v>
      </c>
      <c r="L226" s="1" t="n">
        <v>3</v>
      </c>
      <c r="M226" s="1" t="n">
        <v>641564.6</v>
      </c>
      <c r="N226" s="1" t="n">
        <v>90468.96</v>
      </c>
    </row>
    <row r="227" customFormat="false" ht="15" hidden="false" customHeight="true" outlineLevel="0" collapsed="false">
      <c r="A227" s="1" t="s">
        <v>78</v>
      </c>
      <c r="B227" s="3" t="n">
        <v>45689</v>
      </c>
      <c r="C227" s="1" t="s">
        <v>15</v>
      </c>
      <c r="D227" s="1" t="s">
        <v>28</v>
      </c>
      <c r="E227" s="1" t="n">
        <v>57225.98</v>
      </c>
      <c r="F227" s="1" t="n">
        <v>2842</v>
      </c>
      <c r="G227" s="1" t="n">
        <v>0.112</v>
      </c>
      <c r="H227" s="1" t="n">
        <v>10</v>
      </c>
      <c r="I227" s="1" t="n">
        <v>79.5</v>
      </c>
      <c r="J227" s="1" t="n">
        <v>5.45</v>
      </c>
      <c r="K227" s="1" t="n">
        <v>0</v>
      </c>
      <c r="L227" s="1" t="n">
        <v>3.4</v>
      </c>
      <c r="M227" s="1" t="n">
        <v>536545.49</v>
      </c>
      <c r="N227" s="1" t="n">
        <v>97917.45</v>
      </c>
    </row>
    <row r="228" customFormat="false" ht="15" hidden="false" customHeight="true" outlineLevel="0" collapsed="false">
      <c r="A228" s="1" t="s">
        <v>78</v>
      </c>
      <c r="B228" s="3" t="n">
        <v>45717</v>
      </c>
      <c r="C228" s="1" t="s">
        <v>15</v>
      </c>
      <c r="D228" s="1" t="s">
        <v>28</v>
      </c>
      <c r="E228" s="1" t="n">
        <v>42932.02</v>
      </c>
      <c r="F228" s="1" t="n">
        <v>3872</v>
      </c>
      <c r="G228" s="1" t="n">
        <v>0.171</v>
      </c>
      <c r="H228" s="1" t="n">
        <v>12</v>
      </c>
      <c r="I228" s="1" t="n">
        <v>83.2</v>
      </c>
      <c r="J228" s="1" t="n">
        <v>15.58</v>
      </c>
      <c r="K228" s="1" t="n">
        <v>0</v>
      </c>
      <c r="L228" s="1" t="n">
        <v>3.3</v>
      </c>
      <c r="M228" s="1" t="n">
        <v>527681.56</v>
      </c>
      <c r="N228" s="1" t="n">
        <v>63153.05</v>
      </c>
    </row>
    <row r="229" customFormat="false" ht="15" hidden="false" customHeight="true" outlineLevel="0" collapsed="false">
      <c r="A229" s="1" t="s">
        <v>78</v>
      </c>
      <c r="B229" s="3" t="n">
        <v>45748</v>
      </c>
      <c r="C229" s="1" t="s">
        <v>15</v>
      </c>
      <c r="D229" s="1" t="s">
        <v>28</v>
      </c>
      <c r="E229" s="1" t="n">
        <v>39341.45</v>
      </c>
      <c r="F229" s="1" t="n">
        <v>1375</v>
      </c>
      <c r="G229" s="1" t="n">
        <v>0.093</v>
      </c>
      <c r="H229" s="1" t="n">
        <v>5</v>
      </c>
      <c r="I229" s="1" t="n">
        <v>95</v>
      </c>
      <c r="J229" s="1" t="n">
        <v>5.32</v>
      </c>
      <c r="K229" s="1" t="n">
        <v>0</v>
      </c>
      <c r="M229" s="1" t="n">
        <v>529598.94</v>
      </c>
      <c r="N229" s="1" t="n">
        <v>84334.33</v>
      </c>
    </row>
    <row r="230" customFormat="false" ht="15" hidden="false" customHeight="true" outlineLevel="0" collapsed="false">
      <c r="A230" s="1" t="s">
        <v>79</v>
      </c>
      <c r="B230" s="3" t="n">
        <v>45658</v>
      </c>
      <c r="C230" s="1" t="s">
        <v>15</v>
      </c>
      <c r="D230" s="1" t="s">
        <v>18</v>
      </c>
      <c r="E230" s="1" t="n">
        <v>37324.23</v>
      </c>
      <c r="F230" s="1" t="n">
        <v>5957</v>
      </c>
      <c r="G230" s="1" t="n">
        <v>0.071</v>
      </c>
      <c r="H230" s="1" t="n">
        <v>12</v>
      </c>
      <c r="I230" s="1" t="n">
        <v>85.9</v>
      </c>
      <c r="J230" s="1" t="n">
        <v>0.37</v>
      </c>
      <c r="K230" s="1" t="n">
        <v>0</v>
      </c>
      <c r="L230" s="1" t="n">
        <v>3.8</v>
      </c>
      <c r="M230" s="1" t="n">
        <v>570963.31</v>
      </c>
      <c r="N230" s="1" t="n">
        <v>87342.25</v>
      </c>
    </row>
    <row r="231" customFormat="false" ht="15" hidden="false" customHeight="true" outlineLevel="0" collapsed="false">
      <c r="A231" s="1" t="s">
        <v>79</v>
      </c>
      <c r="B231" s="3" t="n">
        <v>45689</v>
      </c>
      <c r="C231" s="1" t="s">
        <v>15</v>
      </c>
      <c r="D231" s="1" t="s">
        <v>18</v>
      </c>
      <c r="E231" s="1" t="n">
        <v>113736</v>
      </c>
      <c r="F231" s="1" t="n">
        <v>8961</v>
      </c>
      <c r="G231" s="1" t="n">
        <v>0.202</v>
      </c>
      <c r="H231" s="1" t="n">
        <v>24</v>
      </c>
      <c r="I231" s="1" t="n">
        <v>86.2</v>
      </c>
      <c r="J231" s="1" t="n">
        <v>21.63</v>
      </c>
      <c r="K231" s="1" t="n">
        <v>0</v>
      </c>
      <c r="L231" s="1" t="n">
        <v>4</v>
      </c>
      <c r="M231" s="1" t="n">
        <v>870937.4</v>
      </c>
      <c r="N231" s="1" t="n">
        <v>175282.74</v>
      </c>
    </row>
    <row r="232" customFormat="false" ht="15" hidden="false" customHeight="true" outlineLevel="0" collapsed="false">
      <c r="A232" s="1" t="s">
        <v>79</v>
      </c>
      <c r="B232" s="3" t="n">
        <v>45717</v>
      </c>
      <c r="C232" s="1" t="s">
        <v>15</v>
      </c>
      <c r="D232" s="1" t="s">
        <v>18</v>
      </c>
      <c r="E232" s="1" t="n">
        <v>33173.95</v>
      </c>
      <c r="F232" s="1" t="n">
        <v>6545</v>
      </c>
      <c r="G232" s="1" t="n">
        <v>0.169</v>
      </c>
      <c r="H232" s="1" t="n">
        <v>15</v>
      </c>
      <c r="I232" s="1" t="n">
        <v>84.4</v>
      </c>
      <c r="J232" s="1" t="n">
        <v>2.48</v>
      </c>
      <c r="K232" s="1" t="n">
        <v>0</v>
      </c>
      <c r="L232" s="1" t="n">
        <v>3.9</v>
      </c>
      <c r="M232" s="1" t="n">
        <v>596969.27</v>
      </c>
      <c r="N232" s="1" t="n">
        <v>105669.51</v>
      </c>
    </row>
    <row r="233" customFormat="false" ht="15" hidden="false" customHeight="true" outlineLevel="0" collapsed="false">
      <c r="A233" s="1" t="s">
        <v>79</v>
      </c>
      <c r="B233" s="3" t="n">
        <v>45748</v>
      </c>
      <c r="C233" s="1" t="s">
        <v>15</v>
      </c>
      <c r="D233" s="1" t="s">
        <v>18</v>
      </c>
      <c r="E233" s="1" t="n">
        <v>25818.08</v>
      </c>
      <c r="F233" s="1" t="n">
        <v>5457</v>
      </c>
      <c r="G233" s="1" t="n">
        <v>0</v>
      </c>
      <c r="H233" s="1" t="n">
        <v>11</v>
      </c>
      <c r="I233" s="1" t="n">
        <v>95.4</v>
      </c>
      <c r="K233" s="1" t="n">
        <v>0</v>
      </c>
      <c r="L233" s="1" t="n">
        <v>3.7</v>
      </c>
      <c r="M233" s="1" t="n">
        <v>647512.85</v>
      </c>
      <c r="N233" s="1" t="n">
        <v>153835.57</v>
      </c>
    </row>
    <row r="234" customFormat="false" ht="15" hidden="false" customHeight="true" outlineLevel="0" collapsed="false">
      <c r="A234" s="1" t="s">
        <v>80</v>
      </c>
      <c r="B234" s="3" t="n">
        <v>45658</v>
      </c>
      <c r="C234" s="1" t="s">
        <v>27</v>
      </c>
      <c r="D234" s="1" t="s">
        <v>16</v>
      </c>
      <c r="E234" s="1" t="n">
        <v>47241.92</v>
      </c>
      <c r="F234" s="1" t="n">
        <v>4264</v>
      </c>
      <c r="G234" s="1" t="n">
        <v>0.069</v>
      </c>
      <c r="H234" s="1" t="n">
        <v>13</v>
      </c>
      <c r="I234" s="1" t="n">
        <v>95.3</v>
      </c>
      <c r="J234" s="1" t="n">
        <v>0.85</v>
      </c>
      <c r="K234" s="1" t="n">
        <v>0</v>
      </c>
      <c r="L234" s="1" t="n">
        <v>4.3</v>
      </c>
      <c r="M234" s="1" t="n">
        <v>658072.14</v>
      </c>
      <c r="N234" s="1" t="n">
        <v>110595.89</v>
      </c>
    </row>
    <row r="235" customFormat="false" ht="15" hidden="false" customHeight="true" outlineLevel="0" collapsed="false">
      <c r="A235" s="1" t="s">
        <v>80</v>
      </c>
      <c r="B235" s="3" t="n">
        <v>45689</v>
      </c>
      <c r="C235" s="1" t="s">
        <v>27</v>
      </c>
      <c r="D235" s="1" t="s">
        <v>16</v>
      </c>
      <c r="E235" s="1" t="n">
        <v>61650.79</v>
      </c>
      <c r="F235" s="1" t="n">
        <v>5321</v>
      </c>
      <c r="G235" s="1" t="n">
        <v>0.126</v>
      </c>
      <c r="H235" s="1" t="n">
        <v>17</v>
      </c>
      <c r="I235" s="1" t="n">
        <v>89.2</v>
      </c>
      <c r="J235" s="1" t="n">
        <v>2.13</v>
      </c>
      <c r="K235" s="1" t="n">
        <v>0</v>
      </c>
      <c r="L235" s="1" t="n">
        <v>4</v>
      </c>
      <c r="M235" s="1" t="n">
        <v>723305.11</v>
      </c>
      <c r="N235" s="1" t="n">
        <v>128468.7</v>
      </c>
    </row>
    <row r="236" customFormat="false" ht="15" hidden="false" customHeight="true" outlineLevel="0" collapsed="false">
      <c r="A236" s="1" t="s">
        <v>80</v>
      </c>
      <c r="B236" s="3" t="n">
        <v>45717</v>
      </c>
      <c r="C236" s="1" t="s">
        <v>27</v>
      </c>
      <c r="D236" s="1" t="s">
        <v>16</v>
      </c>
      <c r="E236" s="1" t="n">
        <v>62582.71</v>
      </c>
      <c r="F236" s="1" t="n">
        <v>5479</v>
      </c>
      <c r="G236" s="1" t="n">
        <v>0.048</v>
      </c>
      <c r="H236" s="1" t="n">
        <v>16</v>
      </c>
      <c r="I236" s="1" t="n">
        <v>81.2</v>
      </c>
      <c r="J236" s="1" t="n">
        <v>1.46</v>
      </c>
      <c r="K236" s="1" t="n">
        <v>0</v>
      </c>
      <c r="L236" s="1" t="n">
        <v>4.5</v>
      </c>
      <c r="M236" s="1" t="n">
        <v>640666.53</v>
      </c>
      <c r="N236" s="1" t="n">
        <v>134919.16</v>
      </c>
    </row>
    <row r="237" customFormat="false" ht="15" hidden="false" customHeight="true" outlineLevel="0" collapsed="false">
      <c r="A237" s="1" t="s">
        <v>80</v>
      </c>
      <c r="B237" s="3" t="n">
        <v>45748</v>
      </c>
      <c r="C237" s="1" t="s">
        <v>27</v>
      </c>
      <c r="D237" s="1" t="s">
        <v>16</v>
      </c>
      <c r="E237" s="1" t="n">
        <v>47944.14</v>
      </c>
      <c r="F237" s="1" t="n">
        <v>6169</v>
      </c>
      <c r="G237" s="1" t="n">
        <v>0.119</v>
      </c>
      <c r="H237" s="1" t="n">
        <v>17</v>
      </c>
      <c r="I237" s="1" t="n">
        <v>92.2</v>
      </c>
      <c r="J237" s="1" t="n">
        <v>3.02</v>
      </c>
      <c r="K237" s="1" t="n">
        <v>0</v>
      </c>
      <c r="L237" s="1" t="n">
        <v>4.1</v>
      </c>
      <c r="M237" s="1" t="n">
        <v>670629.48</v>
      </c>
      <c r="N237" s="1" t="n">
        <v>100140.8</v>
      </c>
    </row>
    <row r="238" customFormat="false" ht="15" hidden="false" customHeight="true" outlineLevel="0" collapsed="false">
      <c r="A238" s="1" t="s">
        <v>81</v>
      </c>
      <c r="B238" s="3" t="n">
        <v>45658</v>
      </c>
      <c r="C238" s="1" t="s">
        <v>27</v>
      </c>
      <c r="D238" s="1" t="s">
        <v>28</v>
      </c>
      <c r="E238" s="1" t="n">
        <v>46495.4</v>
      </c>
      <c r="F238" s="1" t="n">
        <v>9908</v>
      </c>
      <c r="G238" s="1" t="n">
        <v>0.121</v>
      </c>
      <c r="H238" s="1" t="n">
        <v>22</v>
      </c>
      <c r="I238" s="1" t="n">
        <v>89.4</v>
      </c>
      <c r="J238" s="1" t="n">
        <v>3.22</v>
      </c>
      <c r="K238" s="1" t="n">
        <v>0</v>
      </c>
      <c r="L238" s="1" t="n">
        <v>3.7</v>
      </c>
      <c r="M238" s="1" t="n">
        <v>721079.35</v>
      </c>
      <c r="N238" s="1" t="n">
        <v>115295.05</v>
      </c>
    </row>
    <row r="239" customFormat="false" ht="15" hidden="false" customHeight="true" outlineLevel="0" collapsed="false">
      <c r="A239" s="1" t="s">
        <v>81</v>
      </c>
      <c r="B239" s="3" t="n">
        <v>45689</v>
      </c>
      <c r="C239" s="1" t="s">
        <v>27</v>
      </c>
      <c r="D239" s="1" t="s">
        <v>28</v>
      </c>
      <c r="E239" s="1" t="n">
        <v>72961.95</v>
      </c>
      <c r="F239" s="1" t="n">
        <v>9996</v>
      </c>
      <c r="G239" s="1" t="n">
        <v>0.106</v>
      </c>
      <c r="H239" s="1" t="n">
        <v>22</v>
      </c>
      <c r="I239" s="1" t="n">
        <v>89.1</v>
      </c>
      <c r="J239" s="1" t="n">
        <v>15.66</v>
      </c>
      <c r="K239" s="1" t="n">
        <v>0</v>
      </c>
      <c r="L239" s="1" t="n">
        <v>3.4</v>
      </c>
      <c r="M239" s="1" t="n">
        <v>810355.02</v>
      </c>
      <c r="N239" s="1" t="n">
        <v>131510</v>
      </c>
    </row>
    <row r="240" customFormat="false" ht="15" hidden="false" customHeight="true" outlineLevel="0" collapsed="false">
      <c r="A240" s="1" t="s">
        <v>81</v>
      </c>
      <c r="B240" s="3" t="n">
        <v>45717</v>
      </c>
      <c r="C240" s="1" t="s">
        <v>27</v>
      </c>
      <c r="D240" s="1" t="s">
        <v>28</v>
      </c>
      <c r="E240" s="1" t="n">
        <v>59060.05</v>
      </c>
      <c r="F240" s="1" t="n">
        <v>9702</v>
      </c>
      <c r="G240" s="1" t="n">
        <v>0.201</v>
      </c>
      <c r="H240" s="1" t="n">
        <v>23</v>
      </c>
      <c r="I240" s="1" t="n">
        <v>80.9</v>
      </c>
      <c r="J240" s="1" t="n">
        <v>6.96</v>
      </c>
      <c r="K240" s="1" t="n">
        <v>0</v>
      </c>
      <c r="L240" s="1" t="n">
        <v>3.2</v>
      </c>
      <c r="M240" s="1" t="n">
        <v>761919.25</v>
      </c>
      <c r="N240" s="1" t="n">
        <v>111893.06</v>
      </c>
    </row>
    <row r="241" customFormat="false" ht="15" hidden="false" customHeight="true" outlineLevel="0" collapsed="false">
      <c r="A241" s="1" t="s">
        <v>81</v>
      </c>
      <c r="B241" s="3" t="n">
        <v>45748</v>
      </c>
      <c r="C241" s="1" t="s">
        <v>27</v>
      </c>
      <c r="D241" s="1" t="s">
        <v>28</v>
      </c>
      <c r="E241" s="1" t="n">
        <v>26248.1</v>
      </c>
      <c r="F241" s="1" t="n">
        <v>9314</v>
      </c>
      <c r="G241" s="1" t="n">
        <v>0.186</v>
      </c>
      <c r="H241" s="1" t="n">
        <v>21</v>
      </c>
      <c r="I241" s="1" t="n">
        <v>83.7</v>
      </c>
      <c r="J241" s="1" t="n">
        <v>4.62</v>
      </c>
      <c r="K241" s="1" t="n">
        <v>0</v>
      </c>
      <c r="L241" s="1" t="n">
        <v>3.3</v>
      </c>
      <c r="M241" s="1" t="n">
        <v>737070.18</v>
      </c>
      <c r="N241" s="1" t="n">
        <v>117593.97</v>
      </c>
    </row>
    <row r="242" customFormat="false" ht="15" hidden="false" customHeight="true" outlineLevel="0" collapsed="false">
      <c r="A242" s="1" t="s">
        <v>82</v>
      </c>
      <c r="B242" s="3" t="n">
        <v>45658</v>
      </c>
      <c r="C242" s="1" t="s">
        <v>24</v>
      </c>
      <c r="D242" s="1" t="s">
        <v>21</v>
      </c>
      <c r="E242" s="1" t="n">
        <v>69900.12</v>
      </c>
      <c r="F242" s="1" t="n">
        <v>8055</v>
      </c>
      <c r="G242" s="1" t="n">
        <v>0.281</v>
      </c>
      <c r="H242" s="1" t="n">
        <v>22</v>
      </c>
      <c r="I242" s="1" t="n">
        <v>85.6</v>
      </c>
      <c r="J242" s="1" t="n">
        <v>10.68</v>
      </c>
      <c r="K242" s="1" t="n">
        <v>1</v>
      </c>
      <c r="L242" s="1" t="n">
        <v>2.9</v>
      </c>
      <c r="M242" s="1" t="n">
        <v>776992.93</v>
      </c>
      <c r="N242" s="1" t="n">
        <v>101598.32</v>
      </c>
    </row>
    <row r="243" customFormat="false" ht="15" hidden="false" customHeight="true" outlineLevel="0" collapsed="false">
      <c r="A243" s="1" t="s">
        <v>82</v>
      </c>
      <c r="B243" s="3" t="n">
        <v>45689</v>
      </c>
      <c r="C243" s="1" t="s">
        <v>24</v>
      </c>
      <c r="D243" s="1" t="s">
        <v>21</v>
      </c>
      <c r="E243" s="1" t="n">
        <v>51781.6</v>
      </c>
      <c r="F243" s="1" t="n">
        <v>5648</v>
      </c>
      <c r="G243" s="1" t="n">
        <v>0.059</v>
      </c>
      <c r="H243" s="1" t="n">
        <v>13</v>
      </c>
      <c r="I243" s="1" t="n">
        <v>85.5</v>
      </c>
      <c r="J243" s="1" t="n">
        <v>4.04</v>
      </c>
      <c r="K243" s="1" t="n">
        <v>0</v>
      </c>
      <c r="L243" s="1" t="n">
        <v>3.7</v>
      </c>
      <c r="M243" s="1" t="n">
        <v>676337.41</v>
      </c>
      <c r="N243" s="1" t="n">
        <v>104355.77</v>
      </c>
    </row>
    <row r="244" customFormat="false" ht="15" hidden="false" customHeight="true" outlineLevel="0" collapsed="false">
      <c r="A244" s="1" t="s">
        <v>82</v>
      </c>
      <c r="B244" s="3" t="n">
        <v>45717</v>
      </c>
      <c r="C244" s="1" t="s">
        <v>24</v>
      </c>
      <c r="D244" s="1" t="s">
        <v>21</v>
      </c>
      <c r="E244" s="1" t="n">
        <v>70799.64</v>
      </c>
      <c r="F244" s="1" t="n">
        <v>10076</v>
      </c>
      <c r="G244" s="1" t="n">
        <v>0.152</v>
      </c>
      <c r="H244" s="1" t="n">
        <v>24</v>
      </c>
      <c r="I244" s="1" t="n">
        <v>84.8</v>
      </c>
      <c r="J244" s="1" t="n">
        <v>1.87</v>
      </c>
      <c r="K244" s="1" t="n">
        <v>0</v>
      </c>
      <c r="L244" s="1" t="n">
        <v>3.5</v>
      </c>
      <c r="M244" s="1" t="n">
        <v>828219.67</v>
      </c>
      <c r="N244" s="1" t="n">
        <v>179806.87</v>
      </c>
    </row>
    <row r="245" customFormat="false" ht="15" hidden="false" customHeight="true" outlineLevel="0" collapsed="false">
      <c r="A245" s="1" t="s">
        <v>82</v>
      </c>
      <c r="B245" s="3" t="n">
        <v>45748</v>
      </c>
      <c r="C245" s="1" t="s">
        <v>24</v>
      </c>
      <c r="D245" s="1" t="s">
        <v>21</v>
      </c>
      <c r="E245" s="1" t="n">
        <v>53546.34</v>
      </c>
      <c r="F245" s="1" t="n">
        <v>8004</v>
      </c>
      <c r="G245" s="1" t="n">
        <v>0</v>
      </c>
      <c r="H245" s="1" t="n">
        <v>21</v>
      </c>
      <c r="I245" s="1" t="n">
        <v>95.2</v>
      </c>
      <c r="J245" s="1" t="n">
        <v>2.83</v>
      </c>
      <c r="K245" s="1" t="n">
        <v>0</v>
      </c>
      <c r="L245" s="1" t="n">
        <v>3</v>
      </c>
      <c r="M245" s="1" t="n">
        <v>763159.92</v>
      </c>
      <c r="N245" s="1" t="n">
        <v>177104.87</v>
      </c>
    </row>
    <row r="246" customFormat="false" ht="15" hidden="false" customHeight="true" outlineLevel="0" collapsed="false">
      <c r="A246" s="1" t="s">
        <v>83</v>
      </c>
      <c r="B246" s="3" t="n">
        <v>45658</v>
      </c>
      <c r="C246" s="1" t="s">
        <v>15</v>
      </c>
      <c r="D246" s="1" t="s">
        <v>18</v>
      </c>
      <c r="E246" s="1" t="n">
        <v>76942.2</v>
      </c>
      <c r="F246" s="1" t="n">
        <v>8934</v>
      </c>
      <c r="G246" s="1" t="n">
        <v>0.084</v>
      </c>
      <c r="H246" s="1" t="n">
        <v>20</v>
      </c>
      <c r="I246" s="1" t="n">
        <v>91</v>
      </c>
      <c r="J246" s="1" t="n">
        <v>0.95</v>
      </c>
      <c r="K246" s="1" t="n">
        <v>0</v>
      </c>
      <c r="L246" s="1" t="n">
        <v>3.2</v>
      </c>
      <c r="M246" s="1" t="n">
        <v>802001.68</v>
      </c>
      <c r="N246" s="1" t="n">
        <v>159715.82</v>
      </c>
    </row>
    <row r="247" customFormat="false" ht="15" hidden="false" customHeight="true" outlineLevel="0" collapsed="false">
      <c r="A247" s="1" t="s">
        <v>83</v>
      </c>
      <c r="B247" s="3" t="n">
        <v>45689</v>
      </c>
      <c r="C247" s="1" t="s">
        <v>15</v>
      </c>
      <c r="D247" s="1" t="s">
        <v>18</v>
      </c>
      <c r="E247" s="1" t="n">
        <v>48060.78</v>
      </c>
      <c r="F247" s="1" t="n">
        <v>8733</v>
      </c>
      <c r="G247" s="1" t="n">
        <v>0</v>
      </c>
      <c r="H247" s="1" t="n">
        <v>20</v>
      </c>
      <c r="I247" s="1" t="n">
        <v>89.9</v>
      </c>
      <c r="J247" s="1" t="n">
        <v>0.8</v>
      </c>
      <c r="K247" s="1" t="n">
        <v>0</v>
      </c>
      <c r="L247" s="1" t="n">
        <v>3.4</v>
      </c>
      <c r="M247" s="1" t="n">
        <v>750471.34</v>
      </c>
      <c r="N247" s="1" t="n">
        <v>133788.04</v>
      </c>
    </row>
    <row r="248" customFormat="false" ht="15" hidden="false" customHeight="true" outlineLevel="0" collapsed="false">
      <c r="A248" s="1" t="s">
        <v>83</v>
      </c>
      <c r="B248" s="3" t="n">
        <v>45717</v>
      </c>
      <c r="C248" s="1" t="s">
        <v>15</v>
      </c>
      <c r="D248" s="1" t="s">
        <v>18</v>
      </c>
      <c r="E248" s="1" t="n">
        <v>57390.04</v>
      </c>
      <c r="F248" s="1" t="n">
        <v>7374</v>
      </c>
      <c r="G248" s="1" t="n">
        <v>0.21</v>
      </c>
      <c r="H248" s="1" t="n">
        <v>21</v>
      </c>
      <c r="I248" s="1" t="n">
        <v>91.8</v>
      </c>
      <c r="J248" s="1" t="n">
        <v>0.2</v>
      </c>
      <c r="K248" s="1" t="n">
        <v>0</v>
      </c>
      <c r="L248" s="1" t="n">
        <v>3.1</v>
      </c>
      <c r="M248" s="1" t="n">
        <v>679230.86</v>
      </c>
      <c r="N248" s="1" t="n">
        <v>106927.58</v>
      </c>
    </row>
    <row r="249" customFormat="false" ht="15" hidden="false" customHeight="true" outlineLevel="0" collapsed="false">
      <c r="A249" s="1" t="s">
        <v>83</v>
      </c>
      <c r="B249" s="3" t="n">
        <v>45748</v>
      </c>
      <c r="C249" s="1" t="s">
        <v>15</v>
      </c>
      <c r="D249" s="1" t="s">
        <v>18</v>
      </c>
      <c r="E249" s="1" t="n">
        <v>21536.18</v>
      </c>
      <c r="F249" s="1" t="n">
        <v>8119</v>
      </c>
      <c r="G249" s="1" t="n">
        <v>0.227</v>
      </c>
      <c r="H249" s="1" t="n">
        <v>20</v>
      </c>
      <c r="I249" s="1" t="n">
        <v>90.4</v>
      </c>
      <c r="J249" s="1" t="n">
        <v>1.7</v>
      </c>
      <c r="K249" s="1" t="n">
        <v>0</v>
      </c>
      <c r="L249" s="1" t="n">
        <v>3.3</v>
      </c>
      <c r="M249" s="1" t="n">
        <v>679888.74</v>
      </c>
      <c r="N249" s="1" t="n">
        <v>83406.89</v>
      </c>
    </row>
    <row r="250" customFormat="false" ht="15" hidden="false" customHeight="true" outlineLevel="0" collapsed="false">
      <c r="A250" s="1" t="s">
        <v>84</v>
      </c>
      <c r="B250" s="3" t="n">
        <v>45658</v>
      </c>
      <c r="C250" s="1" t="s">
        <v>20</v>
      </c>
      <c r="D250" s="1" t="s">
        <v>18</v>
      </c>
      <c r="E250" s="1" t="n">
        <v>40923.67</v>
      </c>
      <c r="F250" s="1" t="n">
        <v>3875</v>
      </c>
      <c r="G250" s="1" t="n">
        <v>0.15</v>
      </c>
      <c r="H250" s="1" t="n">
        <v>10</v>
      </c>
      <c r="I250" s="1" t="n">
        <v>96.1</v>
      </c>
      <c r="K250" s="1" t="n">
        <v>0</v>
      </c>
      <c r="L250" s="1" t="n">
        <v>3.8</v>
      </c>
      <c r="M250" s="1" t="n">
        <v>606783.67</v>
      </c>
      <c r="N250" s="1" t="n">
        <v>74515.87</v>
      </c>
    </row>
    <row r="251" customFormat="false" ht="15" hidden="false" customHeight="true" outlineLevel="0" collapsed="false">
      <c r="A251" s="1" t="s">
        <v>84</v>
      </c>
      <c r="B251" s="3" t="n">
        <v>45689</v>
      </c>
      <c r="C251" s="1" t="s">
        <v>20</v>
      </c>
      <c r="D251" s="1" t="s">
        <v>18</v>
      </c>
      <c r="E251" s="1" t="n">
        <v>72932.55</v>
      </c>
      <c r="F251" s="1" t="n">
        <v>5765</v>
      </c>
      <c r="G251" s="1" t="n">
        <v>0.026</v>
      </c>
      <c r="H251" s="1" t="n">
        <v>17</v>
      </c>
      <c r="I251" s="1" t="n">
        <v>81.8</v>
      </c>
      <c r="J251" s="1" t="n">
        <v>5.1</v>
      </c>
      <c r="K251" s="1" t="n">
        <v>0</v>
      </c>
      <c r="L251" s="1" t="n">
        <v>3.6</v>
      </c>
      <c r="M251" s="1" t="n">
        <v>642751.42</v>
      </c>
      <c r="N251" s="1" t="n">
        <v>131942.15</v>
      </c>
    </row>
    <row r="252" customFormat="false" ht="15" hidden="false" customHeight="true" outlineLevel="0" collapsed="false">
      <c r="A252" s="1" t="s">
        <v>84</v>
      </c>
      <c r="B252" s="3" t="n">
        <v>45717</v>
      </c>
      <c r="C252" s="1" t="s">
        <v>20</v>
      </c>
      <c r="D252" s="1" t="s">
        <v>18</v>
      </c>
      <c r="E252" s="1" t="n">
        <v>38361.93</v>
      </c>
      <c r="F252" s="1" t="n">
        <v>6322</v>
      </c>
      <c r="G252" s="1" t="n">
        <v>0.273</v>
      </c>
      <c r="H252" s="1" t="n">
        <v>15</v>
      </c>
      <c r="I252" s="1" t="n">
        <v>88.4</v>
      </c>
      <c r="J252" s="1" t="n">
        <v>0.83</v>
      </c>
      <c r="K252" s="1" t="n">
        <v>0</v>
      </c>
      <c r="L252" s="1" t="n">
        <v>4</v>
      </c>
      <c r="M252" s="1" t="n">
        <v>647953.78</v>
      </c>
      <c r="N252" s="1" t="n">
        <v>118497.43</v>
      </c>
    </row>
    <row r="253" customFormat="false" ht="15" hidden="false" customHeight="true" outlineLevel="0" collapsed="false">
      <c r="A253" s="1" t="s">
        <v>84</v>
      </c>
      <c r="B253" s="3" t="n">
        <v>45748</v>
      </c>
      <c r="C253" s="1" t="s">
        <v>20</v>
      </c>
      <c r="D253" s="1" t="s">
        <v>18</v>
      </c>
      <c r="E253" s="1" t="n">
        <v>97480.94</v>
      </c>
      <c r="F253" s="1" t="n">
        <v>6840</v>
      </c>
      <c r="G253" s="1" t="n">
        <v>0.087</v>
      </c>
      <c r="H253" s="1" t="n">
        <v>14</v>
      </c>
      <c r="I253" s="1" t="n">
        <v>79.2</v>
      </c>
      <c r="J253" s="1" t="n">
        <v>1.14</v>
      </c>
      <c r="K253" s="1" t="n">
        <v>0</v>
      </c>
      <c r="L253" s="1" t="n">
        <v>4</v>
      </c>
      <c r="M253" s="1" t="n">
        <v>729440.45</v>
      </c>
      <c r="N253" s="1" t="n">
        <v>87614.29</v>
      </c>
    </row>
    <row r="254" customFormat="false" ht="15" hidden="false" customHeight="true" outlineLevel="0" collapsed="false">
      <c r="A254" s="1" t="s">
        <v>85</v>
      </c>
      <c r="B254" s="3" t="n">
        <v>45658</v>
      </c>
      <c r="C254" s="1" t="s">
        <v>24</v>
      </c>
      <c r="D254" s="1" t="s">
        <v>21</v>
      </c>
      <c r="E254" s="1" t="n">
        <v>81801.8</v>
      </c>
      <c r="F254" s="1" t="n">
        <v>6782</v>
      </c>
      <c r="G254" s="1" t="n">
        <v>0.05</v>
      </c>
      <c r="H254" s="1" t="n">
        <v>16</v>
      </c>
      <c r="I254" s="1" t="n">
        <v>99</v>
      </c>
      <c r="J254" s="1" t="n">
        <v>9.54</v>
      </c>
      <c r="K254" s="1" t="n">
        <v>0</v>
      </c>
      <c r="L254" s="1" t="n">
        <v>3.7</v>
      </c>
      <c r="M254" s="1" t="n">
        <v>764949</v>
      </c>
      <c r="N254" s="1" t="n">
        <v>148322.43</v>
      </c>
    </row>
    <row r="255" customFormat="false" ht="15" hidden="false" customHeight="true" outlineLevel="0" collapsed="false">
      <c r="A255" s="1" t="s">
        <v>85</v>
      </c>
      <c r="B255" s="3" t="n">
        <v>45689</v>
      </c>
      <c r="C255" s="1" t="s">
        <v>24</v>
      </c>
      <c r="D255" s="1" t="s">
        <v>21</v>
      </c>
      <c r="E255" s="1" t="n">
        <v>63582.11</v>
      </c>
      <c r="F255" s="1" t="n">
        <v>6856</v>
      </c>
      <c r="G255" s="1" t="n">
        <v>0.074</v>
      </c>
      <c r="H255" s="1" t="n">
        <v>17</v>
      </c>
      <c r="I255" s="1" t="n">
        <v>89.5</v>
      </c>
      <c r="J255" s="1" t="n">
        <v>5.48</v>
      </c>
      <c r="K255" s="1" t="n">
        <v>0</v>
      </c>
      <c r="L255" s="1" t="n">
        <v>3.2</v>
      </c>
      <c r="M255" s="1" t="n">
        <v>799046.94</v>
      </c>
      <c r="N255" s="1" t="n">
        <v>144553.64</v>
      </c>
    </row>
    <row r="256" customFormat="false" ht="15" hidden="false" customHeight="true" outlineLevel="0" collapsed="false">
      <c r="A256" s="1" t="s">
        <v>85</v>
      </c>
      <c r="B256" s="3" t="n">
        <v>45717</v>
      </c>
      <c r="C256" s="1" t="s">
        <v>24</v>
      </c>
      <c r="D256" s="1" t="s">
        <v>21</v>
      </c>
      <c r="E256" s="1" t="n">
        <v>75412.74</v>
      </c>
      <c r="F256" s="1" t="n">
        <v>5641</v>
      </c>
      <c r="G256" s="1" t="n">
        <v>0.059</v>
      </c>
      <c r="H256" s="1" t="n">
        <v>13</v>
      </c>
      <c r="I256" s="1" t="n">
        <v>87.9</v>
      </c>
      <c r="J256" s="1" t="n">
        <v>0.84</v>
      </c>
      <c r="K256" s="1" t="n">
        <v>0</v>
      </c>
      <c r="L256" s="1" t="n">
        <v>3.6</v>
      </c>
      <c r="M256" s="1" t="n">
        <v>720079.54</v>
      </c>
      <c r="N256" s="1" t="n">
        <v>119499.47</v>
      </c>
    </row>
    <row r="257" customFormat="false" ht="15" hidden="false" customHeight="true" outlineLevel="0" collapsed="false">
      <c r="A257" s="1" t="s">
        <v>85</v>
      </c>
      <c r="B257" s="3" t="n">
        <v>45748</v>
      </c>
      <c r="C257" s="1" t="s">
        <v>24</v>
      </c>
      <c r="D257" s="1" t="s">
        <v>21</v>
      </c>
      <c r="E257" s="1" t="n">
        <v>36290.08</v>
      </c>
      <c r="F257" s="1" t="n">
        <v>5787</v>
      </c>
      <c r="G257" s="1" t="n">
        <v>0</v>
      </c>
      <c r="H257" s="1" t="n">
        <v>17</v>
      </c>
      <c r="I257" s="1" t="n">
        <v>88.3</v>
      </c>
      <c r="J257" s="1" t="n">
        <v>4.19</v>
      </c>
      <c r="K257" s="1" t="n">
        <v>0</v>
      </c>
      <c r="L257" s="1" t="n">
        <v>4.1</v>
      </c>
      <c r="M257" s="1" t="n">
        <v>612390.14</v>
      </c>
      <c r="N257" s="1" t="n">
        <v>108985.74</v>
      </c>
    </row>
    <row r="258" customFormat="false" ht="15" hidden="false" customHeight="true" outlineLevel="0" collapsed="false">
      <c r="A258" s="1" t="s">
        <v>86</v>
      </c>
      <c r="B258" s="3" t="n">
        <v>45658</v>
      </c>
      <c r="C258" s="1" t="s">
        <v>24</v>
      </c>
      <c r="D258" s="1" t="s">
        <v>28</v>
      </c>
      <c r="E258" s="1" t="n">
        <v>65272.58</v>
      </c>
      <c r="F258" s="1" t="n">
        <v>8165</v>
      </c>
      <c r="G258" s="1" t="n">
        <v>0.051</v>
      </c>
      <c r="H258" s="1" t="n">
        <v>19</v>
      </c>
      <c r="I258" s="1" t="n">
        <v>87.8</v>
      </c>
      <c r="J258" s="1" t="n">
        <v>1.26</v>
      </c>
      <c r="K258" s="1" t="n">
        <v>1</v>
      </c>
      <c r="L258" s="1" t="n">
        <v>4.3</v>
      </c>
      <c r="M258" s="1" t="n">
        <v>840108.12</v>
      </c>
      <c r="N258" s="1" t="n">
        <v>126587.01</v>
      </c>
    </row>
    <row r="259" customFormat="false" ht="15" hidden="false" customHeight="true" outlineLevel="0" collapsed="false">
      <c r="A259" s="1" t="s">
        <v>86</v>
      </c>
      <c r="B259" s="3" t="n">
        <v>45689</v>
      </c>
      <c r="C259" s="1" t="s">
        <v>24</v>
      </c>
      <c r="D259" s="1" t="s">
        <v>28</v>
      </c>
      <c r="E259" s="1" t="n">
        <v>28670.43</v>
      </c>
      <c r="F259" s="1" t="n">
        <v>7574</v>
      </c>
      <c r="G259" s="1" t="n">
        <v>0.114</v>
      </c>
      <c r="H259" s="1" t="n">
        <v>19</v>
      </c>
      <c r="I259" s="1" t="n">
        <v>82.7</v>
      </c>
      <c r="J259" s="1" t="n">
        <v>2.74</v>
      </c>
      <c r="K259" s="1" t="n">
        <v>0</v>
      </c>
      <c r="L259" s="1" t="n">
        <v>4.6</v>
      </c>
      <c r="M259" s="1" t="n">
        <v>697888.09</v>
      </c>
      <c r="N259" s="1" t="n">
        <v>116249.87</v>
      </c>
    </row>
    <row r="260" customFormat="false" ht="15" hidden="false" customHeight="true" outlineLevel="0" collapsed="false">
      <c r="A260" s="1" t="s">
        <v>86</v>
      </c>
      <c r="B260" s="3" t="n">
        <v>45717</v>
      </c>
      <c r="C260" s="1" t="s">
        <v>24</v>
      </c>
      <c r="D260" s="1" t="s">
        <v>28</v>
      </c>
      <c r="E260" s="1" t="n">
        <v>44189.34</v>
      </c>
      <c r="F260" s="1" t="n">
        <v>8634</v>
      </c>
      <c r="G260" s="1" t="n">
        <v>0.143</v>
      </c>
      <c r="H260" s="1" t="n">
        <v>19</v>
      </c>
      <c r="I260" s="1" t="n">
        <v>87.5</v>
      </c>
      <c r="J260" s="1" t="n">
        <v>3.69</v>
      </c>
      <c r="K260" s="1" t="n">
        <v>0</v>
      </c>
      <c r="L260" s="1" t="n">
        <v>4.4</v>
      </c>
      <c r="M260" s="1" t="n">
        <v>746115.59</v>
      </c>
      <c r="N260" s="1" t="n">
        <v>94662.96</v>
      </c>
    </row>
    <row r="261" customFormat="false" ht="15" hidden="false" customHeight="true" outlineLevel="0" collapsed="false">
      <c r="A261" s="1" t="s">
        <v>86</v>
      </c>
      <c r="B261" s="3" t="n">
        <v>45748</v>
      </c>
      <c r="C261" s="1" t="s">
        <v>24</v>
      </c>
      <c r="D261" s="1" t="s">
        <v>28</v>
      </c>
      <c r="E261" s="1" t="n">
        <v>38397.82</v>
      </c>
      <c r="F261" s="1" t="n">
        <v>7836</v>
      </c>
      <c r="G261" s="1" t="n">
        <v>0.007</v>
      </c>
      <c r="H261" s="1" t="n">
        <v>21</v>
      </c>
      <c r="I261" s="1" t="n">
        <v>92.2</v>
      </c>
      <c r="J261" s="1" t="n">
        <v>1.82</v>
      </c>
      <c r="K261" s="1" t="n">
        <v>0</v>
      </c>
      <c r="L261" s="1" t="n">
        <v>3.6</v>
      </c>
      <c r="M261" s="1" t="n">
        <v>776110.32</v>
      </c>
      <c r="N261" s="1" t="n">
        <v>139676.21</v>
      </c>
    </row>
    <row r="262" customFormat="false" ht="15" hidden="false" customHeight="true" outlineLevel="0" collapsed="false">
      <c r="A262" s="1" t="s">
        <v>87</v>
      </c>
      <c r="B262" s="3" t="n">
        <v>45658</v>
      </c>
      <c r="C262" s="1" t="s">
        <v>27</v>
      </c>
      <c r="D262" s="1" t="s">
        <v>18</v>
      </c>
      <c r="E262" s="1" t="n">
        <v>14519.37</v>
      </c>
      <c r="F262" s="1" t="n">
        <v>3047</v>
      </c>
      <c r="G262" s="1" t="n">
        <v>0.135</v>
      </c>
      <c r="H262" s="1" t="n">
        <v>10</v>
      </c>
      <c r="I262" s="1" t="n">
        <v>90.3</v>
      </c>
      <c r="J262" s="1" t="n">
        <v>6.62</v>
      </c>
      <c r="K262" s="1" t="n">
        <v>0</v>
      </c>
      <c r="L262" s="1" t="n">
        <v>4.2</v>
      </c>
      <c r="M262" s="1" t="n">
        <v>528852.62</v>
      </c>
      <c r="N262" s="1" t="n">
        <v>68426.21</v>
      </c>
    </row>
    <row r="263" customFormat="false" ht="15" hidden="false" customHeight="true" outlineLevel="0" collapsed="false">
      <c r="A263" s="1" t="s">
        <v>87</v>
      </c>
      <c r="B263" s="3" t="n">
        <v>45689</v>
      </c>
      <c r="C263" s="1" t="s">
        <v>27</v>
      </c>
      <c r="D263" s="1" t="s">
        <v>18</v>
      </c>
      <c r="E263" s="1" t="n">
        <v>43288.2</v>
      </c>
      <c r="F263" s="1" t="n">
        <v>4783</v>
      </c>
      <c r="G263" s="1" t="n">
        <v>0.169</v>
      </c>
      <c r="H263" s="1" t="n">
        <v>13</v>
      </c>
      <c r="I263" s="1" t="n">
        <v>87.3</v>
      </c>
      <c r="K263" s="1" t="n">
        <v>0</v>
      </c>
      <c r="L263" s="1" t="n">
        <v>4.2</v>
      </c>
      <c r="M263" s="1" t="n">
        <v>605751.33</v>
      </c>
      <c r="N263" s="1" t="n">
        <v>60685.53</v>
      </c>
    </row>
    <row r="264" customFormat="false" ht="15" hidden="false" customHeight="true" outlineLevel="0" collapsed="false">
      <c r="A264" s="1" t="s">
        <v>87</v>
      </c>
      <c r="B264" s="3" t="n">
        <v>45717</v>
      </c>
      <c r="C264" s="1" t="s">
        <v>27</v>
      </c>
      <c r="D264" s="1" t="s">
        <v>18</v>
      </c>
      <c r="E264" s="1" t="n">
        <v>51450.55</v>
      </c>
      <c r="F264" s="1" t="n">
        <v>4902</v>
      </c>
      <c r="G264" s="1" t="n">
        <v>0.086</v>
      </c>
      <c r="H264" s="1" t="n">
        <v>11</v>
      </c>
      <c r="I264" s="1" t="n">
        <v>83.7</v>
      </c>
      <c r="J264" s="1" t="n">
        <v>6.92</v>
      </c>
      <c r="K264" s="1" t="n">
        <v>1</v>
      </c>
      <c r="L264" s="1" t="n">
        <v>4.2</v>
      </c>
      <c r="M264" s="1" t="n">
        <v>677640.65</v>
      </c>
      <c r="N264" s="1" t="n">
        <v>111610.89</v>
      </c>
    </row>
    <row r="265" customFormat="false" ht="15" hidden="false" customHeight="true" outlineLevel="0" collapsed="false">
      <c r="A265" s="1" t="s">
        <v>87</v>
      </c>
      <c r="B265" s="3" t="n">
        <v>45748</v>
      </c>
      <c r="C265" s="1" t="s">
        <v>27</v>
      </c>
      <c r="D265" s="1" t="s">
        <v>18</v>
      </c>
      <c r="E265" s="1" t="n">
        <v>58688.26</v>
      </c>
      <c r="F265" s="1" t="n">
        <v>4022</v>
      </c>
      <c r="G265" s="1" t="n">
        <v>0.217</v>
      </c>
      <c r="H265" s="1" t="n">
        <v>12</v>
      </c>
      <c r="I265" s="1" t="n">
        <v>93.8</v>
      </c>
      <c r="J265" s="1" t="n">
        <v>11.78</v>
      </c>
      <c r="K265" s="1" t="n">
        <v>0</v>
      </c>
      <c r="L265" s="1" t="n">
        <v>3.7</v>
      </c>
      <c r="M265" s="1" t="n">
        <v>636613.23</v>
      </c>
      <c r="N265" s="1" t="n">
        <v>78908.35</v>
      </c>
    </row>
    <row r="266" customFormat="false" ht="15" hidden="false" customHeight="true" outlineLevel="0" collapsed="false">
      <c r="A266" s="1" t="s">
        <v>88</v>
      </c>
      <c r="B266" s="3" t="n">
        <v>45658</v>
      </c>
      <c r="C266" s="1" t="s">
        <v>15</v>
      </c>
      <c r="D266" s="1" t="s">
        <v>18</v>
      </c>
      <c r="E266" s="1" t="n">
        <v>58981.91</v>
      </c>
      <c r="F266" s="1" t="n">
        <v>7324</v>
      </c>
      <c r="G266" s="1" t="n">
        <v>0.094</v>
      </c>
      <c r="H266" s="1" t="n">
        <v>15</v>
      </c>
      <c r="I266" s="1" t="n">
        <v>95.8</v>
      </c>
      <c r="J266" s="1" t="n">
        <v>0.5</v>
      </c>
      <c r="K266" s="1" t="n">
        <v>0</v>
      </c>
      <c r="L266" s="1" t="n">
        <v>3.5</v>
      </c>
      <c r="M266" s="1" t="n">
        <v>708985.19</v>
      </c>
      <c r="N266" s="1" t="n">
        <v>125368.16</v>
      </c>
    </row>
    <row r="267" customFormat="false" ht="15" hidden="false" customHeight="true" outlineLevel="0" collapsed="false">
      <c r="A267" s="1" t="s">
        <v>88</v>
      </c>
      <c r="B267" s="3" t="n">
        <v>45689</v>
      </c>
      <c r="C267" s="1" t="s">
        <v>15</v>
      </c>
      <c r="D267" s="1" t="s">
        <v>18</v>
      </c>
      <c r="E267" s="1" t="n">
        <v>73454.54</v>
      </c>
      <c r="F267" s="1" t="n">
        <v>8129</v>
      </c>
      <c r="G267" s="1" t="n">
        <v>0.211</v>
      </c>
      <c r="H267" s="1" t="n">
        <v>20</v>
      </c>
      <c r="I267" s="1" t="n">
        <v>85.2</v>
      </c>
      <c r="J267" s="1" t="n">
        <v>0.88</v>
      </c>
      <c r="K267" s="1" t="n">
        <v>0</v>
      </c>
      <c r="L267" s="1" t="n">
        <v>3.7</v>
      </c>
      <c r="M267" s="1" t="n">
        <v>767792.94</v>
      </c>
      <c r="N267" s="1" t="n">
        <v>96235.77</v>
      </c>
    </row>
    <row r="268" customFormat="false" ht="15" hidden="false" customHeight="true" outlineLevel="0" collapsed="false">
      <c r="A268" s="1" t="s">
        <v>88</v>
      </c>
      <c r="B268" s="3" t="n">
        <v>45717</v>
      </c>
      <c r="C268" s="1" t="s">
        <v>15</v>
      </c>
      <c r="D268" s="1" t="s">
        <v>18</v>
      </c>
      <c r="E268" s="1" t="n">
        <v>56602.39</v>
      </c>
      <c r="F268" s="1" t="n">
        <v>7969</v>
      </c>
      <c r="G268" s="1" t="n">
        <v>0.17</v>
      </c>
      <c r="H268" s="1" t="n">
        <v>21</v>
      </c>
      <c r="I268" s="1" t="n">
        <v>88.3</v>
      </c>
      <c r="J268" s="1" t="n">
        <v>2.25</v>
      </c>
      <c r="K268" s="1" t="n">
        <v>0</v>
      </c>
      <c r="L268" s="1" t="n">
        <v>3.7</v>
      </c>
      <c r="M268" s="1" t="n">
        <v>745580.51</v>
      </c>
      <c r="N268" s="1" t="n">
        <v>116273.68</v>
      </c>
    </row>
    <row r="269" customFormat="false" ht="15" hidden="false" customHeight="true" outlineLevel="0" collapsed="false">
      <c r="A269" s="1" t="s">
        <v>88</v>
      </c>
      <c r="B269" s="3" t="n">
        <v>45748</v>
      </c>
      <c r="C269" s="1" t="s">
        <v>15</v>
      </c>
      <c r="D269" s="1" t="s">
        <v>18</v>
      </c>
      <c r="E269" s="1" t="n">
        <v>67722.29</v>
      </c>
      <c r="F269" s="1" t="n">
        <v>7240</v>
      </c>
      <c r="G269" s="1" t="n">
        <v>0.026</v>
      </c>
      <c r="H269" s="1" t="n">
        <v>15</v>
      </c>
      <c r="I269" s="1" t="n">
        <v>92.9</v>
      </c>
      <c r="J269" s="1" t="n">
        <v>0.29</v>
      </c>
      <c r="K269" s="1" t="n">
        <v>0</v>
      </c>
      <c r="L269" s="1" t="n">
        <v>3.5</v>
      </c>
      <c r="M269" s="1" t="n">
        <v>762328.31</v>
      </c>
      <c r="N269" s="1" t="n">
        <v>159158.19</v>
      </c>
    </row>
    <row r="270" customFormat="false" ht="15" hidden="false" customHeight="true" outlineLevel="0" collapsed="false">
      <c r="A270" s="1" t="s">
        <v>89</v>
      </c>
      <c r="B270" s="3" t="n">
        <v>45658</v>
      </c>
      <c r="C270" s="1" t="s">
        <v>15</v>
      </c>
      <c r="D270" s="1" t="s">
        <v>28</v>
      </c>
      <c r="E270" s="1" t="n">
        <v>48752.92</v>
      </c>
      <c r="F270" s="1" t="n">
        <v>8052</v>
      </c>
      <c r="G270" s="1" t="n">
        <v>0.106</v>
      </c>
      <c r="H270" s="1" t="n">
        <v>16</v>
      </c>
      <c r="I270" s="1" t="n">
        <v>94.9</v>
      </c>
      <c r="J270" s="1" t="n">
        <v>0.65</v>
      </c>
      <c r="K270" s="1" t="n">
        <v>0</v>
      </c>
      <c r="L270" s="1" t="n">
        <v>3.6</v>
      </c>
      <c r="M270" s="1" t="n">
        <v>660633.99</v>
      </c>
      <c r="N270" s="1" t="n">
        <v>118768.66</v>
      </c>
    </row>
    <row r="271" customFormat="false" ht="15" hidden="false" customHeight="true" outlineLevel="0" collapsed="false">
      <c r="A271" s="1" t="s">
        <v>89</v>
      </c>
      <c r="B271" s="3" t="n">
        <v>45689</v>
      </c>
      <c r="C271" s="1" t="s">
        <v>15</v>
      </c>
      <c r="D271" s="1" t="s">
        <v>28</v>
      </c>
      <c r="E271" s="1" t="n">
        <v>23914.97</v>
      </c>
      <c r="F271" s="1" t="n">
        <v>8018</v>
      </c>
      <c r="G271" s="1" t="n">
        <v>0.139</v>
      </c>
      <c r="H271" s="1" t="n">
        <v>20</v>
      </c>
      <c r="I271" s="1" t="n">
        <v>89</v>
      </c>
      <c r="J271" s="1" t="n">
        <v>0.2</v>
      </c>
      <c r="K271" s="1" t="n">
        <v>0</v>
      </c>
      <c r="L271" s="1" t="n">
        <v>3.5</v>
      </c>
      <c r="M271" s="1" t="n">
        <v>739374.56</v>
      </c>
      <c r="N271" s="1" t="n">
        <v>121032.29</v>
      </c>
    </row>
    <row r="272" customFormat="false" ht="15" hidden="false" customHeight="true" outlineLevel="0" collapsed="false">
      <c r="A272" s="1" t="s">
        <v>89</v>
      </c>
      <c r="B272" s="3" t="n">
        <v>45717</v>
      </c>
      <c r="C272" s="1" t="s">
        <v>15</v>
      </c>
      <c r="D272" s="1" t="s">
        <v>28</v>
      </c>
      <c r="E272" s="1" t="n">
        <v>61995.3</v>
      </c>
      <c r="F272" s="1" t="n">
        <v>10192</v>
      </c>
      <c r="G272" s="1" t="n">
        <v>0.198</v>
      </c>
      <c r="H272" s="1" t="n">
        <v>21</v>
      </c>
      <c r="I272" s="1" t="n">
        <v>87.6</v>
      </c>
      <c r="J272" s="1" t="n">
        <v>3.63</v>
      </c>
      <c r="K272" s="1" t="n">
        <v>1</v>
      </c>
      <c r="L272" s="1" t="n">
        <v>3.8</v>
      </c>
      <c r="M272" s="1" t="n">
        <v>799756.46</v>
      </c>
      <c r="N272" s="1" t="n">
        <v>105052.93</v>
      </c>
    </row>
    <row r="273" customFormat="false" ht="15" hidden="false" customHeight="true" outlineLevel="0" collapsed="false">
      <c r="A273" s="1" t="s">
        <v>89</v>
      </c>
      <c r="B273" s="3" t="n">
        <v>45748</v>
      </c>
      <c r="C273" s="1" t="s">
        <v>15</v>
      </c>
      <c r="D273" s="1" t="s">
        <v>28</v>
      </c>
      <c r="E273" s="1" t="n">
        <v>29344.93</v>
      </c>
      <c r="F273" s="1" t="n">
        <v>7446</v>
      </c>
      <c r="G273" s="1" t="n">
        <v>0.111</v>
      </c>
      <c r="H273" s="1" t="n">
        <v>15</v>
      </c>
      <c r="I273" s="1" t="n">
        <v>86.2</v>
      </c>
      <c r="J273" s="1" t="n">
        <v>0.2</v>
      </c>
      <c r="K273" s="1" t="n">
        <v>0</v>
      </c>
      <c r="L273" s="1" t="n">
        <v>3.2</v>
      </c>
      <c r="M273" s="1" t="n">
        <v>593343</v>
      </c>
      <c r="N273" s="1" t="n">
        <v>82832.24</v>
      </c>
    </row>
    <row r="274" customFormat="false" ht="15" hidden="false" customHeight="true" outlineLevel="0" collapsed="false">
      <c r="A274" s="1" t="s">
        <v>90</v>
      </c>
      <c r="B274" s="3" t="n">
        <v>45658</v>
      </c>
      <c r="C274" s="1" t="s">
        <v>27</v>
      </c>
      <c r="D274" s="1" t="s">
        <v>18</v>
      </c>
      <c r="E274" s="1" t="n">
        <v>50532.17</v>
      </c>
      <c r="F274" s="1" t="n">
        <v>5689</v>
      </c>
      <c r="G274" s="1" t="n">
        <v>0.052</v>
      </c>
      <c r="H274" s="1" t="n">
        <v>17</v>
      </c>
      <c r="I274" s="1" t="n">
        <v>85.6</v>
      </c>
      <c r="J274" s="1" t="n">
        <v>6.23</v>
      </c>
      <c r="K274" s="1" t="n">
        <v>0</v>
      </c>
      <c r="L274" s="1" t="n">
        <v>3.3</v>
      </c>
      <c r="M274" s="1" t="n">
        <v>645039.97</v>
      </c>
      <c r="N274" s="1" t="n">
        <v>83093.33</v>
      </c>
    </row>
    <row r="275" customFormat="false" ht="15" hidden="false" customHeight="true" outlineLevel="0" collapsed="false">
      <c r="A275" s="1" t="s">
        <v>90</v>
      </c>
      <c r="B275" s="3" t="n">
        <v>45689</v>
      </c>
      <c r="C275" s="1" t="s">
        <v>27</v>
      </c>
      <c r="D275" s="1" t="s">
        <v>18</v>
      </c>
      <c r="E275" s="1" t="n">
        <v>17562.57</v>
      </c>
      <c r="F275" s="1" t="n">
        <v>3326</v>
      </c>
      <c r="G275" s="1" t="n">
        <v>0.153</v>
      </c>
      <c r="H275" s="1" t="n">
        <v>14</v>
      </c>
      <c r="I275" s="1" t="n">
        <v>88.1</v>
      </c>
      <c r="J275" s="1" t="n">
        <v>1.04</v>
      </c>
      <c r="K275" s="1" t="n">
        <v>0</v>
      </c>
      <c r="L275" s="1" t="n">
        <v>3.1</v>
      </c>
      <c r="M275" s="1" t="n">
        <v>561597.33</v>
      </c>
      <c r="N275" s="1" t="n">
        <v>75072.75</v>
      </c>
    </row>
    <row r="276" customFormat="false" ht="15" hidden="false" customHeight="true" outlineLevel="0" collapsed="false">
      <c r="A276" s="1" t="s">
        <v>90</v>
      </c>
      <c r="B276" s="3" t="n">
        <v>45717</v>
      </c>
      <c r="C276" s="1" t="s">
        <v>27</v>
      </c>
      <c r="D276" s="1" t="s">
        <v>18</v>
      </c>
      <c r="E276" s="1" t="n">
        <v>47648.71</v>
      </c>
      <c r="F276" s="1" t="n">
        <v>5767</v>
      </c>
      <c r="G276" s="1" t="n">
        <v>0.141</v>
      </c>
      <c r="H276" s="1" t="n">
        <v>17</v>
      </c>
      <c r="I276" s="1" t="n">
        <v>89.8</v>
      </c>
      <c r="J276" s="1" t="n">
        <v>1.76</v>
      </c>
      <c r="K276" s="1" t="n">
        <v>0</v>
      </c>
      <c r="L276" s="1" t="n">
        <v>3.1</v>
      </c>
      <c r="M276" s="1" t="n">
        <v>635837.74</v>
      </c>
      <c r="N276" s="1" t="n">
        <v>114740.64</v>
      </c>
    </row>
    <row r="277" customFormat="false" ht="15" hidden="false" customHeight="true" outlineLevel="0" collapsed="false">
      <c r="A277" s="1" t="s">
        <v>90</v>
      </c>
      <c r="B277" s="3" t="n">
        <v>45748</v>
      </c>
      <c r="C277" s="1" t="s">
        <v>27</v>
      </c>
      <c r="D277" s="1" t="s">
        <v>18</v>
      </c>
      <c r="E277" s="1" t="n">
        <v>38297.58</v>
      </c>
      <c r="F277" s="1" t="n">
        <v>5893</v>
      </c>
      <c r="G277" s="1" t="n">
        <v>0.247</v>
      </c>
      <c r="H277" s="1" t="n">
        <v>18</v>
      </c>
      <c r="I277" s="1" t="n">
        <v>77.6</v>
      </c>
      <c r="J277" s="1" t="n">
        <v>2.86</v>
      </c>
      <c r="K277" s="1" t="n">
        <v>0</v>
      </c>
      <c r="L277" s="1" t="n">
        <v>3</v>
      </c>
      <c r="M277" s="1" t="n">
        <v>686737.87</v>
      </c>
      <c r="N277" s="1" t="n">
        <v>83839.67</v>
      </c>
    </row>
    <row r="278" customFormat="false" ht="15" hidden="false" customHeight="true" outlineLevel="0" collapsed="false">
      <c r="A278" s="1" t="s">
        <v>91</v>
      </c>
      <c r="B278" s="3" t="n">
        <v>45658</v>
      </c>
      <c r="C278" s="1" t="s">
        <v>24</v>
      </c>
      <c r="D278" s="1" t="s">
        <v>16</v>
      </c>
      <c r="E278" s="1" t="n">
        <v>61784.11</v>
      </c>
      <c r="F278" s="1" t="n">
        <v>8564</v>
      </c>
      <c r="G278" s="1" t="n">
        <v>0.13</v>
      </c>
      <c r="H278" s="1" t="n">
        <v>17</v>
      </c>
      <c r="I278" s="1" t="n">
        <v>87.4</v>
      </c>
      <c r="J278" s="1" t="n">
        <v>18.14</v>
      </c>
      <c r="K278" s="1" t="n">
        <v>1</v>
      </c>
      <c r="L278" s="1" t="n">
        <v>3.4</v>
      </c>
      <c r="M278" s="1" t="n">
        <v>673076.34</v>
      </c>
      <c r="N278" s="1" t="n">
        <v>93899.76</v>
      </c>
    </row>
    <row r="279" customFormat="false" ht="15" hidden="false" customHeight="true" outlineLevel="0" collapsed="false">
      <c r="A279" s="1" t="s">
        <v>91</v>
      </c>
      <c r="B279" s="3" t="n">
        <v>45689</v>
      </c>
      <c r="C279" s="1" t="s">
        <v>24</v>
      </c>
      <c r="D279" s="1" t="s">
        <v>16</v>
      </c>
      <c r="E279" s="1" t="n">
        <v>36832.33</v>
      </c>
      <c r="F279" s="1" t="n">
        <v>8001</v>
      </c>
      <c r="G279" s="1" t="n">
        <v>0</v>
      </c>
      <c r="H279" s="1" t="n">
        <v>19</v>
      </c>
      <c r="I279" s="1" t="n">
        <v>88.7</v>
      </c>
      <c r="J279" s="1" t="n">
        <v>3.39</v>
      </c>
      <c r="K279" s="1" t="n">
        <v>0</v>
      </c>
      <c r="L279" s="1" t="n">
        <v>4</v>
      </c>
      <c r="M279" s="1" t="n">
        <v>738548.42</v>
      </c>
      <c r="N279" s="1" t="n">
        <v>134282.77</v>
      </c>
    </row>
    <row r="280" customFormat="false" ht="15" hidden="false" customHeight="true" outlineLevel="0" collapsed="false">
      <c r="A280" s="1" t="s">
        <v>91</v>
      </c>
      <c r="B280" s="3" t="n">
        <v>45717</v>
      </c>
      <c r="C280" s="1" t="s">
        <v>24</v>
      </c>
      <c r="D280" s="1" t="s">
        <v>16</v>
      </c>
      <c r="E280" s="1" t="n">
        <v>48609.41</v>
      </c>
      <c r="F280" s="1" t="n">
        <v>9324</v>
      </c>
      <c r="G280" s="1" t="n">
        <v>0.213</v>
      </c>
      <c r="H280" s="1" t="n">
        <v>18</v>
      </c>
      <c r="I280" s="1" t="n">
        <v>86.5</v>
      </c>
      <c r="J280" s="1" t="n">
        <v>1.44</v>
      </c>
      <c r="K280" s="1" t="n">
        <v>0</v>
      </c>
      <c r="L280" s="1" t="n">
        <v>3.9</v>
      </c>
      <c r="M280" s="1" t="n">
        <v>756619.77</v>
      </c>
      <c r="N280" s="1" t="n">
        <v>112057.69</v>
      </c>
    </row>
    <row r="281" customFormat="false" ht="15" hidden="false" customHeight="true" outlineLevel="0" collapsed="false">
      <c r="A281" s="1" t="s">
        <v>91</v>
      </c>
      <c r="B281" s="3" t="n">
        <v>45748</v>
      </c>
      <c r="C281" s="1" t="s">
        <v>24</v>
      </c>
      <c r="D281" s="1" t="s">
        <v>16</v>
      </c>
      <c r="E281" s="1" t="n">
        <v>70284.06</v>
      </c>
      <c r="F281" s="1" t="n">
        <v>9109</v>
      </c>
      <c r="G281" s="1" t="n">
        <v>0.004</v>
      </c>
      <c r="H281" s="1" t="n">
        <v>23</v>
      </c>
      <c r="I281" s="1" t="n">
        <v>87</v>
      </c>
      <c r="J281" s="1" t="n">
        <v>3.65</v>
      </c>
      <c r="K281" s="1" t="n">
        <v>0</v>
      </c>
      <c r="L281" s="1" t="n">
        <v>3.7</v>
      </c>
      <c r="M281" s="1" t="n">
        <v>761122.42</v>
      </c>
      <c r="N281" s="1" t="n">
        <v>149802.04</v>
      </c>
    </row>
    <row r="282" customFormat="false" ht="15" hidden="false" customHeight="true" outlineLevel="0" collapsed="false">
      <c r="A282" s="1" t="s">
        <v>92</v>
      </c>
      <c r="B282" s="3" t="n">
        <v>45658</v>
      </c>
      <c r="C282" s="1" t="s">
        <v>24</v>
      </c>
      <c r="D282" s="1" t="s">
        <v>18</v>
      </c>
      <c r="E282" s="1" t="n">
        <v>45940.39</v>
      </c>
      <c r="F282" s="1" t="n">
        <v>4022</v>
      </c>
      <c r="G282" s="1" t="n">
        <v>0.069</v>
      </c>
      <c r="H282" s="1" t="n">
        <v>10</v>
      </c>
      <c r="I282" s="1" t="n">
        <v>83</v>
      </c>
      <c r="J282" s="1" t="n">
        <v>1.23</v>
      </c>
      <c r="K282" s="1" t="n">
        <v>1</v>
      </c>
      <c r="L282" s="1" t="n">
        <v>3.8</v>
      </c>
      <c r="M282" s="1" t="n">
        <v>524899.57</v>
      </c>
      <c r="N282" s="1" t="n">
        <v>63619.98</v>
      </c>
    </row>
    <row r="283" customFormat="false" ht="15" hidden="false" customHeight="true" outlineLevel="0" collapsed="false">
      <c r="A283" s="1" t="s">
        <v>92</v>
      </c>
      <c r="B283" s="3" t="n">
        <v>45689</v>
      </c>
      <c r="C283" s="1" t="s">
        <v>24</v>
      </c>
      <c r="D283" s="1" t="s">
        <v>18</v>
      </c>
      <c r="E283" s="1" t="n">
        <v>34771.26</v>
      </c>
      <c r="F283" s="1" t="n">
        <v>4355</v>
      </c>
      <c r="G283" s="1" t="n">
        <v>0.051</v>
      </c>
      <c r="H283" s="1" t="n">
        <v>15</v>
      </c>
      <c r="I283" s="1" t="n">
        <v>87.9</v>
      </c>
      <c r="J283" s="1" t="n">
        <v>3.09</v>
      </c>
      <c r="K283" s="1" t="n">
        <v>0</v>
      </c>
      <c r="L283" s="1" t="n">
        <v>4</v>
      </c>
      <c r="M283" s="1" t="n">
        <v>555557.77</v>
      </c>
      <c r="N283" s="1" t="n">
        <v>86475.51</v>
      </c>
    </row>
    <row r="284" customFormat="false" ht="15" hidden="false" customHeight="true" outlineLevel="0" collapsed="false">
      <c r="A284" s="1" t="s">
        <v>92</v>
      </c>
      <c r="B284" s="3" t="n">
        <v>45717</v>
      </c>
      <c r="C284" s="1" t="s">
        <v>24</v>
      </c>
      <c r="D284" s="1" t="s">
        <v>18</v>
      </c>
      <c r="E284" s="1" t="n">
        <v>66104.19</v>
      </c>
      <c r="F284" s="1" t="n">
        <v>5745</v>
      </c>
      <c r="G284" s="1" t="n">
        <v>0.07</v>
      </c>
      <c r="H284" s="1" t="n">
        <v>17</v>
      </c>
      <c r="I284" s="1" t="n">
        <v>95.8</v>
      </c>
      <c r="J284" s="1" t="n">
        <v>3.15</v>
      </c>
      <c r="K284" s="1" t="n">
        <v>0</v>
      </c>
      <c r="L284" s="1" t="n">
        <v>4</v>
      </c>
      <c r="M284" s="1" t="n">
        <v>714083.68</v>
      </c>
      <c r="N284" s="1" t="n">
        <v>127231.74</v>
      </c>
    </row>
    <row r="285" customFormat="false" ht="15" hidden="false" customHeight="true" outlineLevel="0" collapsed="false">
      <c r="A285" s="1" t="s">
        <v>92</v>
      </c>
      <c r="B285" s="3" t="n">
        <v>45748</v>
      </c>
      <c r="C285" s="1" t="s">
        <v>24</v>
      </c>
      <c r="D285" s="1" t="s">
        <v>18</v>
      </c>
      <c r="E285" s="1" t="n">
        <v>18599.21</v>
      </c>
      <c r="F285" s="1" t="n">
        <v>3027</v>
      </c>
      <c r="G285" s="1" t="n">
        <v>0.122</v>
      </c>
      <c r="H285" s="1" t="n">
        <v>11</v>
      </c>
      <c r="I285" s="1" t="n">
        <v>80.9</v>
      </c>
      <c r="J285" s="1" t="n">
        <v>6.44</v>
      </c>
      <c r="K285" s="1" t="n">
        <v>0</v>
      </c>
      <c r="L285" s="1" t="n">
        <v>4.2</v>
      </c>
      <c r="M285" s="1" t="n">
        <v>497439.82</v>
      </c>
      <c r="N285" s="1" t="n">
        <v>93372.75</v>
      </c>
    </row>
    <row r="286" customFormat="false" ht="15" hidden="false" customHeight="true" outlineLevel="0" collapsed="false">
      <c r="A286" s="1" t="s">
        <v>93</v>
      </c>
      <c r="B286" s="3" t="n">
        <v>45658</v>
      </c>
      <c r="C286" s="1" t="s">
        <v>27</v>
      </c>
      <c r="D286" s="1" t="s">
        <v>16</v>
      </c>
      <c r="E286" s="1" t="n">
        <v>60183.06</v>
      </c>
      <c r="F286" s="1" t="n">
        <v>5562</v>
      </c>
      <c r="G286" s="1" t="n">
        <v>0.009</v>
      </c>
      <c r="H286" s="1" t="n">
        <v>13</v>
      </c>
      <c r="I286" s="1" t="n">
        <v>86.3</v>
      </c>
      <c r="J286" s="1" t="n">
        <v>0.2</v>
      </c>
      <c r="K286" s="1" t="n">
        <v>1</v>
      </c>
      <c r="L286" s="1" t="n">
        <v>4.5</v>
      </c>
      <c r="M286" s="1" t="n">
        <v>636775.66</v>
      </c>
      <c r="N286" s="1" t="n">
        <v>122636.86</v>
      </c>
    </row>
    <row r="287" customFormat="false" ht="15" hidden="false" customHeight="true" outlineLevel="0" collapsed="false">
      <c r="A287" s="1" t="s">
        <v>93</v>
      </c>
      <c r="B287" s="3" t="n">
        <v>45689</v>
      </c>
      <c r="C287" s="1" t="s">
        <v>27</v>
      </c>
      <c r="D287" s="1" t="s">
        <v>16</v>
      </c>
      <c r="E287" s="1" t="n">
        <v>74539.14</v>
      </c>
      <c r="F287" s="1" t="n">
        <v>4487</v>
      </c>
      <c r="G287" s="1" t="n">
        <v>0.14</v>
      </c>
      <c r="H287" s="1" t="n">
        <v>10</v>
      </c>
      <c r="I287" s="1" t="n">
        <v>90.4</v>
      </c>
      <c r="J287" s="1" t="n">
        <v>0.59</v>
      </c>
      <c r="K287" s="1" t="n">
        <v>0</v>
      </c>
      <c r="L287" s="1" t="n">
        <v>4.5</v>
      </c>
      <c r="M287" s="1" t="n">
        <v>633009.53</v>
      </c>
      <c r="N287" s="1" t="n">
        <v>123782.67</v>
      </c>
    </row>
    <row r="288" customFormat="false" ht="15" hidden="false" customHeight="true" outlineLevel="0" collapsed="false">
      <c r="A288" s="1" t="s">
        <v>93</v>
      </c>
      <c r="B288" s="3" t="n">
        <v>45717</v>
      </c>
      <c r="C288" s="1" t="s">
        <v>27</v>
      </c>
      <c r="D288" s="1" t="s">
        <v>16</v>
      </c>
      <c r="E288" s="1" t="n">
        <v>55371.97</v>
      </c>
      <c r="F288" s="1" t="n">
        <v>4162</v>
      </c>
      <c r="G288" s="1" t="n">
        <v>0.183</v>
      </c>
      <c r="H288" s="1" t="n">
        <v>11</v>
      </c>
      <c r="I288" s="1" t="n">
        <v>92</v>
      </c>
      <c r="J288" s="1" t="n">
        <v>0.2</v>
      </c>
      <c r="K288" s="1" t="n">
        <v>1</v>
      </c>
      <c r="L288" s="1" t="n">
        <v>4.2</v>
      </c>
      <c r="M288" s="1" t="n">
        <v>609949</v>
      </c>
      <c r="N288" s="1" t="n">
        <v>126789.25</v>
      </c>
    </row>
    <row r="289" customFormat="false" ht="15" hidden="false" customHeight="true" outlineLevel="0" collapsed="false">
      <c r="A289" s="1" t="s">
        <v>93</v>
      </c>
      <c r="B289" s="3" t="n">
        <v>45748</v>
      </c>
      <c r="C289" s="1" t="s">
        <v>27</v>
      </c>
      <c r="D289" s="1" t="s">
        <v>16</v>
      </c>
      <c r="E289" s="1" t="n">
        <v>40928.69</v>
      </c>
      <c r="F289" s="1" t="n">
        <v>4094</v>
      </c>
      <c r="G289" s="1" t="n">
        <v>0.174</v>
      </c>
      <c r="H289" s="1" t="n">
        <v>13</v>
      </c>
      <c r="I289" s="1" t="n">
        <v>82.4</v>
      </c>
      <c r="J289" s="1" t="n">
        <v>1.36</v>
      </c>
      <c r="K289" s="1" t="n">
        <v>0</v>
      </c>
      <c r="L289" s="1" t="n">
        <v>4.8</v>
      </c>
      <c r="M289" s="1" t="n">
        <v>548103.7</v>
      </c>
      <c r="N289" s="1" t="n">
        <v>99905.52</v>
      </c>
    </row>
    <row r="290" customFormat="false" ht="15" hidden="false" customHeight="true" outlineLevel="0" collapsed="false">
      <c r="A290" s="1" t="s">
        <v>94</v>
      </c>
      <c r="B290" s="3" t="n">
        <v>45658</v>
      </c>
      <c r="C290" s="1" t="s">
        <v>15</v>
      </c>
      <c r="D290" s="1" t="s">
        <v>16</v>
      </c>
      <c r="E290" s="1" t="n">
        <v>70012.41</v>
      </c>
      <c r="F290" s="1" t="n">
        <v>8484</v>
      </c>
      <c r="G290" s="1" t="n">
        <v>0.273</v>
      </c>
      <c r="H290" s="1" t="n">
        <v>23</v>
      </c>
      <c r="I290" s="1" t="n">
        <v>72.9</v>
      </c>
      <c r="J290" s="1" t="n">
        <v>3.34</v>
      </c>
      <c r="K290" s="1" t="n">
        <v>0</v>
      </c>
      <c r="L290" s="1" t="n">
        <v>3.7</v>
      </c>
      <c r="M290" s="1" t="n">
        <v>729424.42</v>
      </c>
      <c r="N290" s="1" t="n">
        <v>75592.28</v>
      </c>
    </row>
    <row r="291" customFormat="false" ht="15" hidden="false" customHeight="true" outlineLevel="0" collapsed="false">
      <c r="A291" s="1" t="s">
        <v>94</v>
      </c>
      <c r="B291" s="3" t="n">
        <v>45689</v>
      </c>
      <c r="C291" s="1" t="s">
        <v>15</v>
      </c>
      <c r="D291" s="1" t="s">
        <v>16</v>
      </c>
      <c r="E291" s="1" t="n">
        <v>68909.26</v>
      </c>
      <c r="F291" s="1" t="n">
        <v>7794</v>
      </c>
      <c r="G291" s="1" t="n">
        <v>0.284</v>
      </c>
      <c r="H291" s="1" t="n">
        <v>22</v>
      </c>
      <c r="I291" s="1" t="n">
        <v>89</v>
      </c>
      <c r="J291" s="1" t="n">
        <v>0.33</v>
      </c>
      <c r="K291" s="1" t="n">
        <v>0</v>
      </c>
      <c r="L291" s="1" t="n">
        <v>4</v>
      </c>
      <c r="M291" s="1" t="n">
        <v>696261.49</v>
      </c>
      <c r="N291" s="1" t="n">
        <v>72455.35</v>
      </c>
    </row>
    <row r="292" customFormat="false" ht="15" hidden="false" customHeight="true" outlineLevel="0" collapsed="false">
      <c r="A292" s="1" t="s">
        <v>94</v>
      </c>
      <c r="B292" s="3" t="n">
        <v>45717</v>
      </c>
      <c r="C292" s="1" t="s">
        <v>15</v>
      </c>
      <c r="D292" s="1" t="s">
        <v>16</v>
      </c>
      <c r="E292" s="1" t="n">
        <v>56737.3</v>
      </c>
      <c r="F292" s="1" t="n">
        <v>8300</v>
      </c>
      <c r="G292" s="1" t="n">
        <v>0.032</v>
      </c>
      <c r="H292" s="1" t="n">
        <v>21</v>
      </c>
      <c r="I292" s="1" t="n">
        <v>83.2</v>
      </c>
      <c r="J292" s="1" t="n">
        <v>3.44</v>
      </c>
      <c r="K292" s="1" t="n">
        <v>1</v>
      </c>
      <c r="L292" s="1" t="n">
        <v>4.3</v>
      </c>
      <c r="M292" s="1" t="n">
        <v>813316.71</v>
      </c>
      <c r="N292" s="1" t="n">
        <v>110077.42</v>
      </c>
    </row>
    <row r="293" customFormat="false" ht="15" hidden="false" customHeight="true" outlineLevel="0" collapsed="false">
      <c r="A293" s="1" t="s">
        <v>94</v>
      </c>
      <c r="B293" s="3" t="n">
        <v>45748</v>
      </c>
      <c r="C293" s="1" t="s">
        <v>15</v>
      </c>
      <c r="D293" s="1" t="s">
        <v>16</v>
      </c>
      <c r="E293" s="1" t="n">
        <v>54080.91</v>
      </c>
      <c r="F293" s="1" t="n">
        <v>7083</v>
      </c>
      <c r="G293" s="1" t="n">
        <v>0</v>
      </c>
      <c r="H293" s="1" t="n">
        <v>15</v>
      </c>
      <c r="I293" s="1" t="n">
        <v>97</v>
      </c>
      <c r="J293" s="1" t="n">
        <v>5.33</v>
      </c>
      <c r="K293" s="1" t="n">
        <v>0</v>
      </c>
      <c r="L293" s="1" t="n">
        <v>4.1</v>
      </c>
      <c r="M293" s="1" t="n">
        <v>702068.92</v>
      </c>
      <c r="N293" s="1" t="n">
        <v>111266.63</v>
      </c>
    </row>
    <row r="294" customFormat="false" ht="15" hidden="false" customHeight="true" outlineLevel="0" collapsed="false">
      <c r="A294" s="1" t="s">
        <v>95</v>
      </c>
      <c r="B294" s="3" t="n">
        <v>45658</v>
      </c>
      <c r="C294" s="1" t="s">
        <v>27</v>
      </c>
      <c r="D294" s="1" t="s">
        <v>18</v>
      </c>
      <c r="E294" s="1" t="n">
        <v>51996.32</v>
      </c>
      <c r="F294" s="1" t="n">
        <v>3834</v>
      </c>
      <c r="G294" s="1" t="n">
        <v>0.096</v>
      </c>
      <c r="H294" s="1" t="n">
        <v>8</v>
      </c>
      <c r="I294" s="1" t="n">
        <v>86.7</v>
      </c>
      <c r="J294" s="1" t="n">
        <v>6.04</v>
      </c>
      <c r="K294" s="1" t="n">
        <v>0</v>
      </c>
      <c r="L294" s="1" t="n">
        <v>4.5</v>
      </c>
      <c r="M294" s="1" t="n">
        <v>546223.7</v>
      </c>
      <c r="N294" s="1" t="n">
        <v>100769.17</v>
      </c>
    </row>
    <row r="295" customFormat="false" ht="15" hidden="false" customHeight="true" outlineLevel="0" collapsed="false">
      <c r="A295" s="1" t="s">
        <v>95</v>
      </c>
      <c r="B295" s="3" t="n">
        <v>45689</v>
      </c>
      <c r="C295" s="1" t="s">
        <v>27</v>
      </c>
      <c r="D295" s="1" t="s">
        <v>18</v>
      </c>
      <c r="E295" s="1" t="n">
        <v>40102.88</v>
      </c>
      <c r="F295" s="1" t="n">
        <v>2358</v>
      </c>
      <c r="G295" s="1" t="n">
        <v>0.119</v>
      </c>
      <c r="H295" s="1" t="n">
        <v>9</v>
      </c>
      <c r="I295" s="1" t="n">
        <v>88.7</v>
      </c>
      <c r="J295" s="1" t="n">
        <v>1.6</v>
      </c>
      <c r="K295" s="1" t="n">
        <v>0</v>
      </c>
      <c r="L295" s="1" t="n">
        <v>4.2</v>
      </c>
      <c r="M295" s="1" t="n">
        <v>533121.26</v>
      </c>
      <c r="N295" s="1" t="n">
        <v>55063.39</v>
      </c>
    </row>
    <row r="296" customFormat="false" ht="15" hidden="false" customHeight="true" outlineLevel="0" collapsed="false">
      <c r="A296" s="1" t="s">
        <v>95</v>
      </c>
      <c r="B296" s="3" t="n">
        <v>45717</v>
      </c>
      <c r="C296" s="1" t="s">
        <v>27</v>
      </c>
      <c r="D296" s="1" t="s">
        <v>18</v>
      </c>
      <c r="E296" s="1" t="n">
        <v>59825.51</v>
      </c>
      <c r="F296" s="1" t="n">
        <v>1231</v>
      </c>
      <c r="G296" s="1" t="n">
        <v>0.214</v>
      </c>
      <c r="H296" s="1" t="n">
        <v>10</v>
      </c>
      <c r="I296" s="1" t="n">
        <v>84.8</v>
      </c>
      <c r="J296" s="1" t="n">
        <v>8.96</v>
      </c>
      <c r="K296" s="1" t="n">
        <v>0</v>
      </c>
      <c r="L296" s="1" t="n">
        <v>4.7</v>
      </c>
      <c r="M296" s="1" t="n">
        <v>498970.32</v>
      </c>
      <c r="N296" s="1" t="n">
        <v>69656.7</v>
      </c>
    </row>
    <row r="297" customFormat="false" ht="15" hidden="false" customHeight="true" outlineLevel="0" collapsed="false">
      <c r="A297" s="1" t="s">
        <v>95</v>
      </c>
      <c r="B297" s="3" t="n">
        <v>45748</v>
      </c>
      <c r="C297" s="1" t="s">
        <v>27</v>
      </c>
      <c r="D297" s="1" t="s">
        <v>18</v>
      </c>
      <c r="E297" s="1" t="n">
        <v>27398.28</v>
      </c>
      <c r="F297" s="1" t="n">
        <v>1723</v>
      </c>
      <c r="G297" s="1" t="n">
        <v>0.171</v>
      </c>
      <c r="H297" s="1" t="n">
        <v>9</v>
      </c>
      <c r="I297" s="1" t="n">
        <v>81</v>
      </c>
      <c r="J297" s="1" t="n">
        <v>0.74</v>
      </c>
      <c r="K297" s="1" t="n">
        <v>0</v>
      </c>
      <c r="L297" s="1" t="n">
        <v>4.6</v>
      </c>
      <c r="M297" s="1" t="n">
        <v>487738.26</v>
      </c>
      <c r="N297" s="1" t="n">
        <v>96435.6</v>
      </c>
    </row>
    <row r="298" customFormat="false" ht="15" hidden="false" customHeight="true" outlineLevel="0" collapsed="false">
      <c r="A298" s="1" t="s">
        <v>96</v>
      </c>
      <c r="B298" s="3" t="n">
        <v>45658</v>
      </c>
      <c r="C298" s="1" t="s">
        <v>27</v>
      </c>
      <c r="D298" s="1" t="s">
        <v>18</v>
      </c>
      <c r="E298" s="1" t="n">
        <v>55599.56</v>
      </c>
      <c r="F298" s="1" t="n">
        <v>5896</v>
      </c>
      <c r="G298" s="1" t="n">
        <v>0.036</v>
      </c>
      <c r="H298" s="1" t="n">
        <v>12</v>
      </c>
      <c r="I298" s="1" t="n">
        <v>93.1</v>
      </c>
      <c r="J298" s="1" t="n">
        <v>6.13</v>
      </c>
      <c r="K298" s="1" t="n">
        <v>0</v>
      </c>
      <c r="L298" s="1" t="n">
        <v>3.3</v>
      </c>
      <c r="M298" s="1" t="n">
        <v>668459.37</v>
      </c>
      <c r="N298" s="1" t="n">
        <v>126435.42</v>
      </c>
    </row>
    <row r="299" customFormat="false" ht="15" hidden="false" customHeight="true" outlineLevel="0" collapsed="false">
      <c r="A299" s="1" t="s">
        <v>96</v>
      </c>
      <c r="B299" s="3" t="n">
        <v>45689</v>
      </c>
      <c r="C299" s="1" t="s">
        <v>27</v>
      </c>
      <c r="D299" s="1" t="s">
        <v>18</v>
      </c>
      <c r="E299" s="1" t="n">
        <v>55477.61</v>
      </c>
      <c r="F299" s="1" t="n">
        <v>5903</v>
      </c>
      <c r="G299" s="1" t="n">
        <v>0.102</v>
      </c>
      <c r="H299" s="1" t="n">
        <v>14</v>
      </c>
      <c r="I299" s="1" t="n">
        <v>96.2</v>
      </c>
      <c r="J299" s="1" t="n">
        <v>1.41</v>
      </c>
      <c r="K299" s="1" t="n">
        <v>0</v>
      </c>
      <c r="L299" s="1" t="n">
        <v>3.3</v>
      </c>
      <c r="M299" s="1" t="n">
        <v>763162.45</v>
      </c>
      <c r="N299" s="1" t="n">
        <v>162524.05</v>
      </c>
    </row>
    <row r="300" customFormat="false" ht="15" hidden="false" customHeight="true" outlineLevel="0" collapsed="false">
      <c r="A300" s="1" t="s">
        <v>96</v>
      </c>
      <c r="B300" s="3" t="n">
        <v>45717</v>
      </c>
      <c r="C300" s="1" t="s">
        <v>27</v>
      </c>
      <c r="D300" s="1" t="s">
        <v>18</v>
      </c>
      <c r="E300" s="1" t="n">
        <v>46174.7</v>
      </c>
      <c r="F300" s="1" t="n">
        <v>4898</v>
      </c>
      <c r="G300" s="1" t="n">
        <v>0.114</v>
      </c>
      <c r="H300" s="1" t="n">
        <v>11</v>
      </c>
      <c r="I300" s="1" t="n">
        <v>91.7</v>
      </c>
      <c r="J300" s="1" t="n">
        <v>3.75</v>
      </c>
      <c r="K300" s="1" t="n">
        <v>0</v>
      </c>
      <c r="L300" s="1" t="n">
        <v>3.1</v>
      </c>
      <c r="M300" s="1" t="n">
        <v>599017.33</v>
      </c>
      <c r="N300" s="1" t="n">
        <v>134009.92</v>
      </c>
    </row>
    <row r="301" customFormat="false" ht="15" hidden="false" customHeight="true" outlineLevel="0" collapsed="false">
      <c r="A301" s="1" t="s">
        <v>96</v>
      </c>
      <c r="B301" s="3" t="n">
        <v>45748</v>
      </c>
      <c r="C301" s="1" t="s">
        <v>27</v>
      </c>
      <c r="D301" s="1" t="s">
        <v>18</v>
      </c>
      <c r="E301" s="1" t="n">
        <v>24362.98</v>
      </c>
      <c r="F301" s="1" t="n">
        <v>1462</v>
      </c>
      <c r="G301" s="1" t="n">
        <v>0.117</v>
      </c>
      <c r="H301" s="1" t="n">
        <v>6</v>
      </c>
      <c r="I301" s="1" t="n">
        <v>89.3</v>
      </c>
      <c r="J301" s="1" t="n">
        <v>15.06</v>
      </c>
      <c r="K301" s="1" t="n">
        <v>0</v>
      </c>
      <c r="L301" s="1" t="n">
        <v>3.2</v>
      </c>
      <c r="M301" s="1" t="n">
        <v>401582.58</v>
      </c>
      <c r="N301" s="1" t="n">
        <v>68454.93</v>
      </c>
    </row>
    <row r="302" customFormat="false" ht="15" hidden="false" customHeight="true" outlineLevel="0" collapsed="false">
      <c r="A302" s="1" t="s">
        <v>97</v>
      </c>
      <c r="B302" s="3" t="n">
        <v>45658</v>
      </c>
      <c r="C302" s="1" t="s">
        <v>20</v>
      </c>
      <c r="D302" s="1" t="s">
        <v>28</v>
      </c>
      <c r="E302" s="1" t="n">
        <v>40647.67</v>
      </c>
      <c r="F302" s="1" t="n">
        <v>8252</v>
      </c>
      <c r="G302" s="1" t="n">
        <v>0.141</v>
      </c>
      <c r="H302" s="1" t="n">
        <v>22</v>
      </c>
      <c r="I302" s="1" t="n">
        <v>88.2</v>
      </c>
      <c r="J302" s="1" t="n">
        <v>5.07</v>
      </c>
      <c r="K302" s="1" t="n">
        <v>1</v>
      </c>
      <c r="L302" s="1" t="n">
        <v>4.1</v>
      </c>
      <c r="M302" s="1" t="n">
        <v>703812.99</v>
      </c>
      <c r="N302" s="1" t="n">
        <v>133577.98</v>
      </c>
    </row>
    <row r="303" customFormat="false" ht="15" hidden="false" customHeight="true" outlineLevel="0" collapsed="false">
      <c r="A303" s="1" t="s">
        <v>97</v>
      </c>
      <c r="B303" s="3" t="n">
        <v>45689</v>
      </c>
      <c r="C303" s="1" t="s">
        <v>20</v>
      </c>
      <c r="D303" s="1" t="s">
        <v>28</v>
      </c>
      <c r="E303" s="1" t="n">
        <v>63986.98</v>
      </c>
      <c r="F303" s="1" t="n">
        <v>7989</v>
      </c>
      <c r="G303" s="1" t="n">
        <v>0.074</v>
      </c>
      <c r="H303" s="1" t="n">
        <v>20</v>
      </c>
      <c r="I303" s="1" t="n">
        <v>83.3</v>
      </c>
      <c r="J303" s="1" t="n">
        <v>3.6</v>
      </c>
      <c r="K303" s="1" t="n">
        <v>0</v>
      </c>
      <c r="L303" s="1" t="n">
        <v>3.7</v>
      </c>
      <c r="M303" s="1" t="n">
        <v>724346.73</v>
      </c>
      <c r="N303" s="1" t="n">
        <v>155013.91</v>
      </c>
    </row>
    <row r="304" customFormat="false" ht="15" hidden="false" customHeight="true" outlineLevel="0" collapsed="false">
      <c r="A304" s="1" t="s">
        <v>97</v>
      </c>
      <c r="B304" s="3" t="n">
        <v>45717</v>
      </c>
      <c r="C304" s="1" t="s">
        <v>20</v>
      </c>
      <c r="D304" s="1" t="s">
        <v>28</v>
      </c>
      <c r="E304" s="1" t="n">
        <v>52843.75</v>
      </c>
      <c r="F304" s="1" t="n">
        <v>8268</v>
      </c>
      <c r="G304" s="1" t="n">
        <v>0.138</v>
      </c>
      <c r="H304" s="1" t="n">
        <v>19</v>
      </c>
      <c r="I304" s="1" t="n">
        <v>87.3</v>
      </c>
      <c r="J304" s="1" t="n">
        <v>4.39</v>
      </c>
      <c r="K304" s="1" t="n">
        <v>1</v>
      </c>
      <c r="L304" s="1" t="n">
        <v>4.7</v>
      </c>
      <c r="M304" s="1" t="n">
        <v>730890.01</v>
      </c>
      <c r="N304" s="1" t="n">
        <v>105502.56</v>
      </c>
    </row>
    <row r="305" customFormat="false" ht="15" hidden="false" customHeight="true" outlineLevel="0" collapsed="false">
      <c r="A305" s="1" t="s">
        <v>97</v>
      </c>
      <c r="B305" s="3" t="n">
        <v>45748</v>
      </c>
      <c r="C305" s="1" t="s">
        <v>20</v>
      </c>
      <c r="D305" s="1" t="s">
        <v>28</v>
      </c>
      <c r="E305" s="1" t="n">
        <v>31997.25</v>
      </c>
      <c r="F305" s="1" t="n">
        <v>8183</v>
      </c>
      <c r="G305" s="1" t="n">
        <v>0.198</v>
      </c>
      <c r="H305" s="1" t="n">
        <v>18</v>
      </c>
      <c r="I305" s="1" t="n">
        <v>93</v>
      </c>
      <c r="J305" s="1" t="n">
        <v>2.79</v>
      </c>
      <c r="K305" s="1" t="n">
        <v>0</v>
      </c>
      <c r="L305" s="1" t="n">
        <v>4.2</v>
      </c>
      <c r="M305" s="1" t="n">
        <v>780580.95</v>
      </c>
      <c r="N305" s="1" t="n">
        <v>138144.46</v>
      </c>
    </row>
    <row r="306" customFormat="false" ht="15" hidden="false" customHeight="true" outlineLevel="0" collapsed="false">
      <c r="A306" s="1" t="s">
        <v>98</v>
      </c>
      <c r="B306" s="3" t="n">
        <v>45658</v>
      </c>
      <c r="C306" s="1" t="s">
        <v>24</v>
      </c>
      <c r="D306" s="1" t="s">
        <v>16</v>
      </c>
      <c r="E306" s="1" t="n">
        <v>54948.02</v>
      </c>
      <c r="F306" s="1" t="n">
        <v>6534</v>
      </c>
      <c r="G306" s="1" t="n">
        <v>0.183</v>
      </c>
      <c r="H306" s="1" t="n">
        <v>14</v>
      </c>
      <c r="I306" s="1" t="n">
        <v>94.5</v>
      </c>
      <c r="J306" s="1" t="n">
        <v>1.56</v>
      </c>
      <c r="K306" s="1" t="n">
        <v>0</v>
      </c>
      <c r="L306" s="1" t="n">
        <v>4</v>
      </c>
      <c r="M306" s="1" t="n">
        <v>727957.48</v>
      </c>
      <c r="N306" s="1" t="n">
        <v>74805.23</v>
      </c>
    </row>
    <row r="307" customFormat="false" ht="15" hidden="false" customHeight="true" outlineLevel="0" collapsed="false">
      <c r="A307" s="1" t="s">
        <v>98</v>
      </c>
      <c r="B307" s="3" t="n">
        <v>45689</v>
      </c>
      <c r="C307" s="1" t="s">
        <v>24</v>
      </c>
      <c r="D307" s="1" t="s">
        <v>16</v>
      </c>
      <c r="E307" s="1" t="n">
        <v>46146.24</v>
      </c>
      <c r="F307" s="1" t="n">
        <v>5804</v>
      </c>
      <c r="G307" s="1" t="n">
        <v>0.047</v>
      </c>
      <c r="H307" s="1" t="n">
        <v>16</v>
      </c>
      <c r="I307" s="1" t="n">
        <v>86.9</v>
      </c>
      <c r="J307" s="1" t="n">
        <v>15.82</v>
      </c>
      <c r="K307" s="1" t="n">
        <v>0</v>
      </c>
      <c r="L307" s="1" t="n">
        <v>3.8</v>
      </c>
      <c r="M307" s="1" t="n">
        <v>538376</v>
      </c>
      <c r="N307" s="1" t="n">
        <v>87605.62</v>
      </c>
    </row>
    <row r="308" customFormat="false" ht="15" hidden="false" customHeight="true" outlineLevel="0" collapsed="false">
      <c r="A308" s="1" t="s">
        <v>98</v>
      </c>
      <c r="B308" s="3" t="n">
        <v>45717</v>
      </c>
      <c r="C308" s="1" t="s">
        <v>24</v>
      </c>
      <c r="D308" s="1" t="s">
        <v>16</v>
      </c>
      <c r="E308" s="1" t="n">
        <v>22387.26</v>
      </c>
      <c r="F308" s="1" t="n">
        <v>6301</v>
      </c>
      <c r="G308" s="1" t="n">
        <v>0.146</v>
      </c>
      <c r="H308" s="1" t="n">
        <v>14</v>
      </c>
      <c r="I308" s="1" t="n">
        <v>85.9</v>
      </c>
      <c r="J308" s="1" t="n">
        <v>1.17</v>
      </c>
      <c r="K308" s="1" t="n">
        <v>1</v>
      </c>
      <c r="L308" s="1" t="n">
        <v>3.7</v>
      </c>
      <c r="M308" s="1" t="n">
        <v>665342.49</v>
      </c>
      <c r="N308" s="1" t="n">
        <v>93441.81</v>
      </c>
    </row>
    <row r="309" customFormat="false" ht="15" hidden="false" customHeight="true" outlineLevel="0" collapsed="false">
      <c r="A309" s="1" t="s">
        <v>98</v>
      </c>
      <c r="B309" s="3" t="n">
        <v>45748</v>
      </c>
      <c r="C309" s="1" t="s">
        <v>24</v>
      </c>
      <c r="D309" s="1" t="s">
        <v>16</v>
      </c>
      <c r="E309" s="1" t="n">
        <v>60684.05</v>
      </c>
      <c r="F309" s="1" t="n">
        <v>6399</v>
      </c>
      <c r="G309" s="1" t="n">
        <v>0.075</v>
      </c>
      <c r="H309" s="1" t="n">
        <v>16</v>
      </c>
      <c r="I309" s="1" t="n">
        <v>99</v>
      </c>
      <c r="J309" s="1" t="n">
        <v>3.82</v>
      </c>
      <c r="K309" s="1" t="n">
        <v>0</v>
      </c>
      <c r="L309" s="1" t="n">
        <v>3.5</v>
      </c>
      <c r="M309" s="1" t="n">
        <v>651164.18</v>
      </c>
      <c r="N309" s="1" t="n">
        <v>109466.5</v>
      </c>
    </row>
    <row r="310" customFormat="false" ht="15" hidden="false" customHeight="true" outlineLevel="0" collapsed="false">
      <c r="A310" s="1" t="s">
        <v>99</v>
      </c>
      <c r="B310" s="3" t="n">
        <v>45658</v>
      </c>
      <c r="C310" s="1" t="s">
        <v>24</v>
      </c>
      <c r="D310" s="1" t="s">
        <v>18</v>
      </c>
      <c r="E310" s="1" t="n">
        <v>48465.6</v>
      </c>
      <c r="F310" s="1" t="n">
        <v>5759</v>
      </c>
      <c r="G310" s="1" t="n">
        <v>0.154</v>
      </c>
      <c r="H310" s="1" t="n">
        <v>13</v>
      </c>
      <c r="I310" s="1" t="n">
        <v>87.5</v>
      </c>
      <c r="J310" s="1" t="n">
        <v>4.14</v>
      </c>
      <c r="K310" s="1" t="n">
        <v>0</v>
      </c>
      <c r="L310" s="1" t="n">
        <v>4</v>
      </c>
      <c r="M310" s="1" t="n">
        <v>628538.3</v>
      </c>
      <c r="N310" s="1" t="n">
        <v>112509.15</v>
      </c>
    </row>
    <row r="311" customFormat="false" ht="15" hidden="false" customHeight="true" outlineLevel="0" collapsed="false">
      <c r="A311" s="1" t="s">
        <v>99</v>
      </c>
      <c r="B311" s="3" t="n">
        <v>45689</v>
      </c>
      <c r="C311" s="1" t="s">
        <v>24</v>
      </c>
      <c r="D311" s="1" t="s">
        <v>18</v>
      </c>
      <c r="E311" s="1" t="n">
        <v>23702.38</v>
      </c>
      <c r="F311" s="1" t="n">
        <v>5285</v>
      </c>
      <c r="G311" s="1" t="n">
        <v>0.167</v>
      </c>
      <c r="H311" s="1" t="n">
        <v>14</v>
      </c>
      <c r="I311" s="1" t="n">
        <v>79.7</v>
      </c>
      <c r="J311" s="1" t="n">
        <v>1.1</v>
      </c>
      <c r="K311" s="1" t="n">
        <v>0</v>
      </c>
      <c r="L311" s="1" t="n">
        <v>4.3</v>
      </c>
      <c r="M311" s="1" t="n">
        <v>536524.84</v>
      </c>
      <c r="N311" s="1" t="n">
        <v>92752.94</v>
      </c>
    </row>
    <row r="312" customFormat="false" ht="15" hidden="false" customHeight="true" outlineLevel="0" collapsed="false">
      <c r="A312" s="1" t="s">
        <v>99</v>
      </c>
      <c r="B312" s="3" t="n">
        <v>45717</v>
      </c>
      <c r="C312" s="1" t="s">
        <v>24</v>
      </c>
      <c r="D312" s="1" t="s">
        <v>18</v>
      </c>
      <c r="E312" s="1" t="n">
        <v>54322.94</v>
      </c>
      <c r="F312" s="1" t="n">
        <v>5434</v>
      </c>
      <c r="G312" s="1" t="n">
        <v>0.2</v>
      </c>
      <c r="H312" s="1" t="n">
        <v>13</v>
      </c>
      <c r="I312" s="1" t="n">
        <v>85.7</v>
      </c>
      <c r="J312" s="1" t="n">
        <v>10.6</v>
      </c>
      <c r="K312" s="1" t="n">
        <v>0</v>
      </c>
      <c r="L312" s="1" t="n">
        <v>4.2</v>
      </c>
      <c r="M312" s="1" t="n">
        <v>621677.3</v>
      </c>
      <c r="N312" s="1" t="n">
        <v>105192.52</v>
      </c>
    </row>
    <row r="313" customFormat="false" ht="15" hidden="false" customHeight="true" outlineLevel="0" collapsed="false">
      <c r="A313" s="1" t="s">
        <v>99</v>
      </c>
      <c r="B313" s="3" t="n">
        <v>45748</v>
      </c>
      <c r="C313" s="1" t="s">
        <v>24</v>
      </c>
      <c r="D313" s="1" t="s">
        <v>18</v>
      </c>
      <c r="E313" s="1" t="n">
        <v>86026.58</v>
      </c>
      <c r="F313" s="1" t="n">
        <v>7479</v>
      </c>
      <c r="G313" s="1" t="n">
        <v>0.142</v>
      </c>
      <c r="H313" s="1" t="n">
        <v>20</v>
      </c>
      <c r="I313" s="1" t="n">
        <v>89</v>
      </c>
      <c r="J313" s="1" t="n">
        <v>0.9</v>
      </c>
      <c r="K313" s="1" t="n">
        <v>0</v>
      </c>
      <c r="M313" s="1" t="n">
        <v>771129.07</v>
      </c>
      <c r="N313" s="1" t="n">
        <v>116851.13</v>
      </c>
    </row>
    <row r="314" customFormat="false" ht="15" hidden="false" customHeight="true" outlineLevel="0" collapsed="false">
      <c r="A314" s="1" t="s">
        <v>100</v>
      </c>
      <c r="B314" s="3" t="n">
        <v>45658</v>
      </c>
      <c r="C314" s="1" t="s">
        <v>20</v>
      </c>
      <c r="D314" s="1" t="s">
        <v>16</v>
      </c>
      <c r="E314" s="1" t="n">
        <v>78967.52</v>
      </c>
      <c r="F314" s="1" t="n">
        <v>6164</v>
      </c>
      <c r="G314" s="1" t="n">
        <v>0.021</v>
      </c>
      <c r="H314" s="1" t="n">
        <v>16</v>
      </c>
      <c r="I314" s="1" t="n">
        <v>85.5</v>
      </c>
      <c r="J314" s="1" t="n">
        <v>0.2</v>
      </c>
      <c r="K314" s="1" t="n">
        <v>0</v>
      </c>
      <c r="L314" s="1" t="n">
        <v>3.4</v>
      </c>
      <c r="M314" s="1" t="n">
        <v>702052.47</v>
      </c>
      <c r="N314" s="1" t="n">
        <v>121732.51</v>
      </c>
    </row>
    <row r="315" customFormat="false" ht="15" hidden="false" customHeight="true" outlineLevel="0" collapsed="false">
      <c r="A315" s="1" t="s">
        <v>100</v>
      </c>
      <c r="B315" s="3" t="n">
        <v>45689</v>
      </c>
      <c r="C315" s="1" t="s">
        <v>20</v>
      </c>
      <c r="D315" s="1" t="s">
        <v>16</v>
      </c>
      <c r="E315" s="1" t="n">
        <v>46767.99</v>
      </c>
      <c r="F315" s="1" t="n">
        <v>7973</v>
      </c>
      <c r="G315" s="1" t="n">
        <v>0.183</v>
      </c>
      <c r="H315" s="1" t="n">
        <v>18</v>
      </c>
      <c r="I315" s="1" t="n">
        <v>94.8</v>
      </c>
      <c r="J315" s="1" t="n">
        <v>4.67</v>
      </c>
      <c r="K315" s="1" t="n">
        <v>0</v>
      </c>
      <c r="M315" s="1" t="n">
        <v>688368.46</v>
      </c>
      <c r="N315" s="1" t="n">
        <v>93588.42</v>
      </c>
    </row>
    <row r="316" customFormat="false" ht="15" hidden="false" customHeight="true" outlineLevel="0" collapsed="false">
      <c r="A316" s="1" t="s">
        <v>100</v>
      </c>
      <c r="B316" s="3" t="n">
        <v>45717</v>
      </c>
      <c r="C316" s="1" t="s">
        <v>20</v>
      </c>
      <c r="D316" s="1" t="s">
        <v>16</v>
      </c>
      <c r="E316" s="1" t="n">
        <v>62507.16</v>
      </c>
      <c r="F316" s="1" t="n">
        <v>6000</v>
      </c>
      <c r="G316" s="1" t="n">
        <v>0.091</v>
      </c>
      <c r="H316" s="1" t="n">
        <v>14</v>
      </c>
      <c r="I316" s="1" t="n">
        <v>98.2</v>
      </c>
      <c r="J316" s="1" t="n">
        <v>4.38</v>
      </c>
      <c r="K316" s="1" t="n">
        <v>1</v>
      </c>
      <c r="L316" s="1" t="n">
        <v>3.9</v>
      </c>
      <c r="M316" s="1" t="n">
        <v>712375.77</v>
      </c>
      <c r="N316" s="1" t="n">
        <v>104171.53</v>
      </c>
    </row>
    <row r="317" customFormat="false" ht="15" hidden="false" customHeight="true" outlineLevel="0" collapsed="false">
      <c r="A317" s="1" t="s">
        <v>100</v>
      </c>
      <c r="B317" s="3" t="n">
        <v>45748</v>
      </c>
      <c r="C317" s="1" t="s">
        <v>20</v>
      </c>
      <c r="D317" s="1" t="s">
        <v>16</v>
      </c>
      <c r="E317" s="1" t="n">
        <v>66456.28</v>
      </c>
      <c r="F317" s="1" t="n">
        <v>9967</v>
      </c>
      <c r="G317" s="1" t="n">
        <v>0.108</v>
      </c>
      <c r="H317" s="1" t="n">
        <v>20</v>
      </c>
      <c r="I317" s="1" t="n">
        <v>94.7</v>
      </c>
      <c r="J317" s="1" t="n">
        <v>4.48</v>
      </c>
      <c r="K317" s="1" t="n">
        <v>0</v>
      </c>
      <c r="L317" s="1" t="n">
        <v>4.2</v>
      </c>
      <c r="M317" s="1" t="n">
        <v>844710.67</v>
      </c>
      <c r="N317" s="1" t="n">
        <v>137140.18</v>
      </c>
    </row>
    <row r="318" customFormat="false" ht="15" hidden="false" customHeight="true" outlineLevel="0" collapsed="false">
      <c r="A318" s="1" t="s">
        <v>101</v>
      </c>
      <c r="B318" s="3" t="n">
        <v>45658</v>
      </c>
      <c r="C318" s="1" t="s">
        <v>15</v>
      </c>
      <c r="D318" s="1" t="s">
        <v>16</v>
      </c>
      <c r="E318" s="1" t="n">
        <v>76614.32</v>
      </c>
      <c r="F318" s="1" t="n">
        <v>5639</v>
      </c>
      <c r="G318" s="1" t="n">
        <v>0.174</v>
      </c>
      <c r="H318" s="1" t="n">
        <v>15</v>
      </c>
      <c r="I318" s="1" t="n">
        <v>92.9</v>
      </c>
      <c r="J318" s="1" t="n">
        <v>1.02</v>
      </c>
      <c r="K318" s="1" t="n">
        <v>1</v>
      </c>
      <c r="L318" s="1" t="n">
        <v>4</v>
      </c>
      <c r="M318" s="1" t="n">
        <v>620264.2</v>
      </c>
      <c r="N318" s="1" t="n">
        <v>91365.64</v>
      </c>
    </row>
    <row r="319" customFormat="false" ht="15" hidden="false" customHeight="true" outlineLevel="0" collapsed="false">
      <c r="A319" s="1" t="s">
        <v>101</v>
      </c>
      <c r="B319" s="3" t="n">
        <v>45689</v>
      </c>
      <c r="C319" s="1" t="s">
        <v>15</v>
      </c>
      <c r="D319" s="1" t="s">
        <v>16</v>
      </c>
      <c r="E319" s="1" t="n">
        <v>24088.06</v>
      </c>
      <c r="F319" s="1" t="n">
        <v>3466</v>
      </c>
      <c r="G319" s="1" t="n">
        <v>0</v>
      </c>
      <c r="H319" s="1" t="n">
        <v>11</v>
      </c>
      <c r="I319" s="1" t="n">
        <v>88</v>
      </c>
      <c r="J319" s="1" t="n">
        <v>0.2</v>
      </c>
      <c r="K319" s="1" t="n">
        <v>0</v>
      </c>
      <c r="L319" s="1" t="n">
        <v>3.8</v>
      </c>
      <c r="M319" s="1" t="n">
        <v>536845.42</v>
      </c>
      <c r="N319" s="1" t="n">
        <v>107473.75</v>
      </c>
    </row>
    <row r="320" customFormat="false" ht="15" hidden="false" customHeight="true" outlineLevel="0" collapsed="false">
      <c r="A320" s="1" t="s">
        <v>101</v>
      </c>
      <c r="B320" s="3" t="n">
        <v>45717</v>
      </c>
      <c r="C320" s="1" t="s">
        <v>15</v>
      </c>
      <c r="D320" s="1" t="s">
        <v>16</v>
      </c>
      <c r="E320" s="1" t="n">
        <v>81902.58</v>
      </c>
      <c r="F320" s="1" t="n">
        <v>7775</v>
      </c>
      <c r="G320" s="1" t="n">
        <v>0.215</v>
      </c>
      <c r="H320" s="1" t="n">
        <v>20</v>
      </c>
      <c r="I320" s="1" t="n">
        <v>85.2</v>
      </c>
      <c r="J320" s="1" t="n">
        <v>4.89</v>
      </c>
      <c r="K320" s="1" t="n">
        <v>1</v>
      </c>
      <c r="L320" s="1" t="n">
        <v>4.2</v>
      </c>
      <c r="M320" s="1" t="n">
        <v>726776.22</v>
      </c>
      <c r="N320" s="1" t="n">
        <v>90804.49</v>
      </c>
    </row>
    <row r="321" customFormat="false" ht="15" hidden="false" customHeight="true" outlineLevel="0" collapsed="false">
      <c r="A321" s="1" t="s">
        <v>101</v>
      </c>
      <c r="B321" s="3" t="n">
        <v>45748</v>
      </c>
      <c r="C321" s="1" t="s">
        <v>15</v>
      </c>
      <c r="D321" s="1" t="s">
        <v>16</v>
      </c>
      <c r="E321" s="1" t="n">
        <v>40553.11</v>
      </c>
      <c r="F321" s="1" t="n">
        <v>5317</v>
      </c>
      <c r="G321" s="1" t="n">
        <v>0.165</v>
      </c>
      <c r="H321" s="1" t="n">
        <v>17</v>
      </c>
      <c r="I321" s="1" t="n">
        <v>84.3</v>
      </c>
      <c r="J321" s="1" t="n">
        <v>11.82</v>
      </c>
      <c r="K321" s="1" t="n">
        <v>0</v>
      </c>
      <c r="L321" s="1" t="n">
        <v>4.1</v>
      </c>
      <c r="M321" s="1" t="n">
        <v>559660.84</v>
      </c>
      <c r="N321" s="1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7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3"/>
    <col collapsed="false" customWidth="true" hidden="false" outlineLevel="0" max="9" min="9" style="1" width="26"/>
    <col collapsed="false" customWidth="true" hidden="false" outlineLevel="0" max="10" min="10" style="1" width="24"/>
    <col collapsed="false" customWidth="true" hidden="false" outlineLevel="0" max="11" min="11" style="1" width="14"/>
    <col collapsed="false" customWidth="true" hidden="false" outlineLevel="0" max="12" min="12" style="1" width="17"/>
    <col collapsed="false" customWidth="true" hidden="false" outlineLevel="0" max="13" min="13" style="1" width="15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1" t="s">
        <v>14</v>
      </c>
      <c r="B2" s="3" t="n">
        <v>45658</v>
      </c>
      <c r="C2" s="1" t="s">
        <v>15</v>
      </c>
      <c r="D2" s="1" t="s">
        <v>16</v>
      </c>
      <c r="E2" s="1" t="n">
        <v>70389.11</v>
      </c>
      <c r="F2" s="1" t="n">
        <v>8302</v>
      </c>
      <c r="G2" s="1" t="n">
        <v>0.042</v>
      </c>
      <c r="H2" s="1" t="n">
        <v>17</v>
      </c>
      <c r="I2" s="1" t="n">
        <v>75</v>
      </c>
      <c r="J2" s="1" t="n">
        <v>5.28</v>
      </c>
      <c r="K2" s="1" t="n">
        <v>1</v>
      </c>
      <c r="L2" s="1" t="n">
        <v>3.1</v>
      </c>
      <c r="M2" s="1" t="n">
        <v>658832.62</v>
      </c>
      <c r="N2" s="1" t="n">
        <v>84349.93</v>
      </c>
    </row>
    <row r="3" customFormat="false" ht="15" hidden="false" customHeight="true" outlineLevel="0" collapsed="false">
      <c r="A3" s="1" t="s">
        <v>14</v>
      </c>
      <c r="B3" s="3" t="n">
        <v>45689</v>
      </c>
      <c r="C3" s="1" t="s">
        <v>15</v>
      </c>
      <c r="D3" s="1" t="s">
        <v>16</v>
      </c>
      <c r="E3" s="1" t="n">
        <v>43827.89</v>
      </c>
      <c r="F3" s="1" t="n">
        <v>8487</v>
      </c>
      <c r="G3" s="1" t="n">
        <v>0.168</v>
      </c>
      <c r="H3" s="1" t="n">
        <v>23</v>
      </c>
      <c r="I3" s="1" t="n">
        <v>84.4</v>
      </c>
      <c r="J3" s="1" t="n">
        <v>4.31</v>
      </c>
      <c r="K3" s="1" t="n">
        <v>0</v>
      </c>
      <c r="L3" s="1" t="n">
        <v>2.8</v>
      </c>
      <c r="M3" s="1" t="n">
        <v>634436</v>
      </c>
      <c r="N3" s="1" t="n">
        <v>106130.54</v>
      </c>
    </row>
    <row r="4" customFormat="false" ht="15" hidden="false" customHeight="true" outlineLevel="0" collapsed="false">
      <c r="A4" s="1" t="s">
        <v>14</v>
      </c>
      <c r="B4" s="3" t="n">
        <v>45717</v>
      </c>
      <c r="C4" s="1" t="s">
        <v>15</v>
      </c>
      <c r="D4" s="1" t="s">
        <v>16</v>
      </c>
      <c r="E4" s="1" t="n">
        <v>59921.75</v>
      </c>
      <c r="F4" s="1" t="n">
        <v>9113</v>
      </c>
      <c r="G4" s="1" t="n">
        <v>0.133</v>
      </c>
      <c r="H4" s="1" t="n">
        <v>20</v>
      </c>
      <c r="I4" s="1" t="n">
        <v>88</v>
      </c>
      <c r="J4" s="1" t="n">
        <v>12</v>
      </c>
      <c r="K4" s="1" t="n">
        <v>0</v>
      </c>
      <c r="L4" s="1" t="n">
        <v>3.2</v>
      </c>
      <c r="M4" s="1" t="n">
        <v>678722.06</v>
      </c>
      <c r="N4" s="1" t="n">
        <v>101883.86</v>
      </c>
    </row>
    <row r="5" customFormat="false" ht="15" hidden="false" customHeight="true" outlineLevel="0" collapsed="false">
      <c r="A5" s="1" t="s">
        <v>14</v>
      </c>
      <c r="B5" s="3" t="n">
        <v>45748</v>
      </c>
      <c r="C5" s="1" t="s">
        <v>15</v>
      </c>
      <c r="D5" s="1" t="s">
        <v>16</v>
      </c>
      <c r="E5" s="1" t="n">
        <v>56856.63</v>
      </c>
      <c r="F5" s="1" t="n">
        <v>9431</v>
      </c>
      <c r="G5" s="1" t="n">
        <v>0.142</v>
      </c>
      <c r="H5" s="1" t="n">
        <v>23</v>
      </c>
      <c r="I5" s="1" t="n">
        <v>86.9</v>
      </c>
      <c r="J5" s="1" t="n">
        <v>4.97</v>
      </c>
      <c r="K5" s="1" t="n">
        <v>0</v>
      </c>
      <c r="L5" s="1" t="n">
        <v>3.4</v>
      </c>
      <c r="M5" s="1" t="n">
        <v>658920.3</v>
      </c>
      <c r="N5" s="1" t="n">
        <v>97910.37</v>
      </c>
    </row>
    <row r="6" customFormat="false" ht="15" hidden="false" customHeight="true" outlineLevel="0" collapsed="false">
      <c r="A6" s="1" t="s">
        <v>17</v>
      </c>
      <c r="B6" s="3" t="n">
        <v>45658</v>
      </c>
      <c r="C6" s="1" t="s">
        <v>15</v>
      </c>
      <c r="D6" s="1" t="s">
        <v>18</v>
      </c>
      <c r="E6" s="1" t="n">
        <v>48412.64</v>
      </c>
      <c r="F6" s="1" t="n">
        <v>9545</v>
      </c>
      <c r="G6" s="1" t="n">
        <v>0.231</v>
      </c>
      <c r="H6" s="1" t="n">
        <v>21</v>
      </c>
      <c r="I6" s="1" t="n">
        <v>97.6</v>
      </c>
      <c r="J6" s="1" t="n">
        <v>6.94</v>
      </c>
      <c r="K6" s="1" t="n">
        <v>1</v>
      </c>
      <c r="L6" s="1" t="n">
        <v>4.2</v>
      </c>
      <c r="M6" s="1" t="n">
        <v>741341.44</v>
      </c>
      <c r="N6" s="1" t="n">
        <v>119208.17</v>
      </c>
    </row>
    <row r="7" customFormat="false" ht="15" hidden="false" customHeight="true" outlineLevel="0" collapsed="false">
      <c r="A7" s="1" t="s">
        <v>17</v>
      </c>
      <c r="B7" s="3" t="n">
        <v>45689</v>
      </c>
      <c r="C7" s="1" t="s">
        <v>15</v>
      </c>
      <c r="D7" s="1" t="s">
        <v>18</v>
      </c>
      <c r="E7" s="1" t="n">
        <v>64811.21</v>
      </c>
      <c r="F7" s="1" t="n">
        <v>9792</v>
      </c>
      <c r="G7" s="1" t="n">
        <v>0.112</v>
      </c>
      <c r="H7" s="1" t="n">
        <v>20</v>
      </c>
      <c r="I7" s="1" t="n">
        <v>84.2</v>
      </c>
      <c r="J7" s="1" t="n">
        <v>2.88</v>
      </c>
      <c r="K7" s="1" t="n">
        <v>0</v>
      </c>
      <c r="L7" s="1" t="n">
        <v>4.2</v>
      </c>
      <c r="M7" s="1" t="n">
        <v>761835.34</v>
      </c>
      <c r="N7" s="1" t="n">
        <v>149602.23</v>
      </c>
    </row>
    <row r="8" customFormat="false" ht="15" hidden="false" customHeight="true" outlineLevel="0" collapsed="false">
      <c r="A8" s="1" t="s">
        <v>17</v>
      </c>
      <c r="B8" s="3" t="n">
        <v>45717</v>
      </c>
      <c r="C8" s="1" t="s">
        <v>15</v>
      </c>
      <c r="D8" s="1" t="s">
        <v>18</v>
      </c>
      <c r="E8" s="1" t="n">
        <v>46213.45</v>
      </c>
      <c r="F8" s="1" t="n">
        <v>10616</v>
      </c>
      <c r="G8" s="1" t="n">
        <v>0.122</v>
      </c>
      <c r="H8" s="1" t="n">
        <v>22</v>
      </c>
      <c r="I8" s="1" t="n">
        <v>85.2</v>
      </c>
      <c r="J8" s="1" t="n">
        <v>0.2</v>
      </c>
      <c r="K8" s="1" t="n">
        <v>1</v>
      </c>
      <c r="L8" s="1" t="n">
        <v>4.1</v>
      </c>
      <c r="M8" s="1" t="n">
        <v>806615.54</v>
      </c>
      <c r="N8" s="1" t="n">
        <v>131364.62</v>
      </c>
    </row>
    <row r="9" customFormat="false" ht="15" hidden="false" customHeight="true" outlineLevel="0" collapsed="false">
      <c r="A9" s="1" t="s">
        <v>17</v>
      </c>
      <c r="B9" s="3" t="n">
        <v>45748</v>
      </c>
      <c r="C9" s="1" t="s">
        <v>15</v>
      </c>
      <c r="D9" s="1" t="s">
        <v>18</v>
      </c>
      <c r="E9" s="1" t="n">
        <v>68148.52</v>
      </c>
      <c r="F9" s="1" t="n">
        <v>8567</v>
      </c>
      <c r="G9" s="1" t="n">
        <v>0.127</v>
      </c>
      <c r="H9" s="1" t="n">
        <v>23</v>
      </c>
      <c r="I9" s="1" t="n">
        <v>95.6</v>
      </c>
      <c r="J9" s="1" t="n">
        <v>0.8</v>
      </c>
      <c r="K9" s="1" t="n">
        <v>0</v>
      </c>
      <c r="L9" s="1" t="n">
        <v>3.9</v>
      </c>
      <c r="M9" s="1" t="n">
        <v>850164.26</v>
      </c>
      <c r="N9" s="1" t="n">
        <v>149262.75</v>
      </c>
    </row>
    <row r="10" customFormat="false" ht="15" hidden="false" customHeight="true" outlineLevel="0" collapsed="false">
      <c r="A10" s="1" t="s">
        <v>19</v>
      </c>
      <c r="B10" s="3" t="n">
        <v>45658</v>
      </c>
      <c r="C10" s="1" t="s">
        <v>20</v>
      </c>
      <c r="D10" s="1" t="s">
        <v>21</v>
      </c>
      <c r="E10" s="1" t="n">
        <v>71838.86</v>
      </c>
      <c r="F10" s="1" t="n">
        <v>10979</v>
      </c>
      <c r="G10" s="1" t="n">
        <v>0.215</v>
      </c>
      <c r="H10" s="1" t="n">
        <v>26</v>
      </c>
      <c r="I10" s="1" t="n">
        <v>88.6</v>
      </c>
      <c r="J10" s="1" t="n">
        <v>7.7</v>
      </c>
      <c r="K10" s="1" t="n">
        <v>1</v>
      </c>
      <c r="L10" s="1" t="n">
        <v>3.8</v>
      </c>
      <c r="M10" s="1" t="n">
        <v>930581.7</v>
      </c>
      <c r="N10" s="1" t="n">
        <v>136207.98</v>
      </c>
    </row>
    <row r="11" customFormat="false" ht="15" hidden="false" customHeight="true" outlineLevel="0" collapsed="false">
      <c r="A11" s="1" t="s">
        <v>19</v>
      </c>
      <c r="B11" s="3" t="n">
        <v>45689</v>
      </c>
      <c r="C11" s="1" t="s">
        <v>20</v>
      </c>
      <c r="D11" s="1" t="s">
        <v>21</v>
      </c>
      <c r="E11" s="1" t="n">
        <v>68133.44</v>
      </c>
      <c r="F11" s="1" t="n">
        <v>9459</v>
      </c>
      <c r="G11" s="1" t="n">
        <v>0.22</v>
      </c>
      <c r="H11" s="1" t="n">
        <v>21</v>
      </c>
      <c r="I11" s="1" t="n">
        <v>85</v>
      </c>
      <c r="J11" s="1" t="n">
        <v>1.91</v>
      </c>
      <c r="K11" s="1" t="n">
        <v>0</v>
      </c>
      <c r="L11" s="1" t="n">
        <v>4.2</v>
      </c>
      <c r="M11" s="1" t="n">
        <v>779010.94</v>
      </c>
      <c r="N11" s="1" t="n">
        <v>106328.09</v>
      </c>
    </row>
    <row r="12" customFormat="false" ht="15" hidden="false" customHeight="true" outlineLevel="0" collapsed="false">
      <c r="A12" s="1" t="s">
        <v>19</v>
      </c>
      <c r="B12" s="3" t="n">
        <v>45717</v>
      </c>
      <c r="C12" s="1" t="s">
        <v>20</v>
      </c>
      <c r="D12" s="1" t="s">
        <v>21</v>
      </c>
      <c r="E12" s="1" t="n">
        <v>34285.21</v>
      </c>
      <c r="F12" s="1" t="n">
        <v>9172</v>
      </c>
      <c r="G12" s="1" t="n">
        <v>0.213</v>
      </c>
      <c r="H12" s="1" t="n">
        <v>22</v>
      </c>
      <c r="I12" s="1" t="n">
        <v>88.3</v>
      </c>
      <c r="J12" s="1" t="n">
        <v>10.46</v>
      </c>
      <c r="K12" s="1" t="n">
        <v>1</v>
      </c>
      <c r="L12" s="1" t="n">
        <v>3.8</v>
      </c>
      <c r="M12" s="1" t="n">
        <v>723060.76</v>
      </c>
      <c r="N12" s="1" t="n">
        <v>123131.24</v>
      </c>
    </row>
    <row r="13" customFormat="false" ht="15" hidden="false" customHeight="true" outlineLevel="0" collapsed="false">
      <c r="A13" s="1" t="s">
        <v>19</v>
      </c>
      <c r="B13" s="3" t="n">
        <v>45748</v>
      </c>
      <c r="C13" s="1" t="s">
        <v>20</v>
      </c>
      <c r="D13" s="1" t="s">
        <v>21</v>
      </c>
      <c r="E13" s="1" t="n">
        <v>67979.88</v>
      </c>
      <c r="F13" s="1" t="n">
        <v>11230</v>
      </c>
      <c r="G13" s="1" t="n">
        <v>0.002</v>
      </c>
      <c r="H13" s="1" t="n">
        <v>28</v>
      </c>
      <c r="I13" s="1" t="n">
        <v>85.3</v>
      </c>
      <c r="J13" s="1" t="n">
        <v>7.16</v>
      </c>
      <c r="K13" s="1" t="n">
        <v>0</v>
      </c>
      <c r="L13" s="1" t="n">
        <v>3.8</v>
      </c>
      <c r="M13" s="1" t="n">
        <v>910791.94</v>
      </c>
      <c r="N13" s="1" t="n">
        <v>158891.28</v>
      </c>
    </row>
    <row r="14" customFormat="false" ht="15" hidden="false" customHeight="true" outlineLevel="0" collapsed="false">
      <c r="A14" s="1" t="s">
        <v>22</v>
      </c>
      <c r="B14" s="3" t="n">
        <v>45658</v>
      </c>
      <c r="C14" s="1" t="s">
        <v>15</v>
      </c>
      <c r="D14" s="1" t="s">
        <v>16</v>
      </c>
      <c r="E14" s="1" t="n">
        <v>71828.26</v>
      </c>
      <c r="F14" s="1" t="n">
        <v>12775</v>
      </c>
      <c r="G14" s="1" t="n">
        <v>0.116</v>
      </c>
      <c r="H14" s="1" t="n">
        <v>30</v>
      </c>
      <c r="I14" s="1" t="n">
        <v>81.7</v>
      </c>
      <c r="J14" s="1" t="n">
        <v>4.24</v>
      </c>
      <c r="K14" s="1" t="n">
        <v>1</v>
      </c>
      <c r="L14" s="1" t="n">
        <v>4.2</v>
      </c>
      <c r="M14" s="1" t="n">
        <v>922168.6</v>
      </c>
      <c r="N14" s="1" t="n">
        <v>107494.53</v>
      </c>
    </row>
    <row r="15" customFormat="false" ht="15" hidden="false" customHeight="true" outlineLevel="0" collapsed="false">
      <c r="A15" s="1" t="s">
        <v>22</v>
      </c>
      <c r="B15" s="3" t="n">
        <v>45689</v>
      </c>
      <c r="C15" s="1" t="s">
        <v>15</v>
      </c>
      <c r="D15" s="1" t="s">
        <v>16</v>
      </c>
      <c r="E15" s="1" t="n">
        <v>55716.82</v>
      </c>
      <c r="F15" s="1" t="n">
        <v>10054</v>
      </c>
      <c r="G15" s="1" t="n">
        <v>0.146</v>
      </c>
      <c r="H15" s="1" t="n">
        <v>24</v>
      </c>
      <c r="I15" s="1" t="n">
        <v>84.9</v>
      </c>
      <c r="J15" s="1" t="n">
        <v>1.06</v>
      </c>
      <c r="K15" s="1" t="n">
        <v>0</v>
      </c>
      <c r="L15" s="1" t="n">
        <v>4.3</v>
      </c>
      <c r="M15" s="1" t="n">
        <v>726606.28</v>
      </c>
      <c r="N15" s="1" t="n">
        <v>122729.29</v>
      </c>
    </row>
    <row r="16" customFormat="false" ht="15" hidden="false" customHeight="true" outlineLevel="0" collapsed="false">
      <c r="A16" s="1" t="s">
        <v>22</v>
      </c>
      <c r="B16" s="3" t="n">
        <v>45717</v>
      </c>
      <c r="C16" s="1" t="s">
        <v>15</v>
      </c>
      <c r="D16" s="1" t="s">
        <v>16</v>
      </c>
      <c r="E16" s="1" t="n">
        <v>59909.51</v>
      </c>
      <c r="F16" s="1" t="n">
        <v>8895</v>
      </c>
      <c r="G16" s="1" t="n">
        <v>0.228</v>
      </c>
      <c r="H16" s="1" t="n">
        <v>23</v>
      </c>
      <c r="I16" s="1" t="n">
        <v>88.8</v>
      </c>
      <c r="J16" s="1" t="n">
        <v>0.27</v>
      </c>
      <c r="K16" s="1" t="n">
        <v>0</v>
      </c>
      <c r="L16" s="1" t="n">
        <v>4.3</v>
      </c>
      <c r="M16" s="1" t="n">
        <v>746501.09</v>
      </c>
      <c r="N16" s="1" t="n">
        <v>136816.72</v>
      </c>
    </row>
    <row r="17" customFormat="false" ht="15" hidden="false" customHeight="true" outlineLevel="0" collapsed="false">
      <c r="A17" s="1" t="s">
        <v>22</v>
      </c>
      <c r="B17" s="3" t="n">
        <v>45748</v>
      </c>
      <c r="C17" s="1" t="s">
        <v>15</v>
      </c>
      <c r="D17" s="1" t="s">
        <v>16</v>
      </c>
      <c r="E17" s="1" t="n">
        <v>75305.71</v>
      </c>
      <c r="F17" s="1" t="n">
        <v>10940</v>
      </c>
      <c r="G17" s="1" t="n">
        <v>0.006</v>
      </c>
      <c r="H17" s="1" t="n">
        <v>26</v>
      </c>
      <c r="I17" s="1" t="n">
        <v>76.5</v>
      </c>
      <c r="J17" s="1" t="n">
        <v>1.32</v>
      </c>
      <c r="K17" s="1" t="n">
        <v>0</v>
      </c>
      <c r="L17" s="1" t="n">
        <v>4.5</v>
      </c>
      <c r="M17" s="1" t="n">
        <v>834017.02</v>
      </c>
      <c r="N17" s="1" t="n">
        <v>114745.03</v>
      </c>
    </row>
    <row r="18" customFormat="false" ht="15" hidden="false" customHeight="true" outlineLevel="0" collapsed="false">
      <c r="A18" s="1" t="s">
        <v>23</v>
      </c>
      <c r="B18" s="3" t="n">
        <v>45658</v>
      </c>
      <c r="C18" s="1" t="s">
        <v>24</v>
      </c>
      <c r="D18" s="1" t="s">
        <v>16</v>
      </c>
      <c r="E18" s="1" t="n">
        <v>48804.22</v>
      </c>
      <c r="F18" s="1" t="n">
        <v>7057</v>
      </c>
      <c r="G18" s="1" t="n">
        <v>0.005</v>
      </c>
      <c r="H18" s="1" t="n">
        <v>15</v>
      </c>
      <c r="I18" s="1" t="n">
        <v>87.7</v>
      </c>
      <c r="J18" s="1" t="n">
        <v>1.22</v>
      </c>
      <c r="K18" s="1" t="n">
        <v>0</v>
      </c>
      <c r="L18" s="1" t="n">
        <v>3.7</v>
      </c>
      <c r="M18" s="1" t="n">
        <v>666152.52</v>
      </c>
      <c r="N18" s="1" t="n">
        <v>107490.58</v>
      </c>
    </row>
    <row r="19" customFormat="false" ht="15" hidden="false" customHeight="true" outlineLevel="0" collapsed="false">
      <c r="A19" s="1" t="s">
        <v>23</v>
      </c>
      <c r="B19" s="3" t="n">
        <v>45689</v>
      </c>
      <c r="C19" s="1" t="s">
        <v>24</v>
      </c>
      <c r="D19" s="1" t="s">
        <v>16</v>
      </c>
      <c r="E19" s="1" t="n">
        <v>59117.9</v>
      </c>
      <c r="F19" s="1" t="n">
        <v>4263</v>
      </c>
      <c r="G19" s="1" t="n">
        <v>0.119</v>
      </c>
      <c r="H19" s="1" t="n">
        <v>9</v>
      </c>
      <c r="I19" s="1" t="n">
        <v>87.6</v>
      </c>
      <c r="J19" s="1" t="n">
        <v>4.01</v>
      </c>
      <c r="K19" s="1" t="n">
        <v>0</v>
      </c>
      <c r="L19" s="1" t="n">
        <v>3.6</v>
      </c>
      <c r="M19" s="1" t="n">
        <v>573155.19</v>
      </c>
      <c r="N19" s="1" t="n">
        <v>83680.75</v>
      </c>
    </row>
    <row r="20" customFormat="false" ht="15" hidden="false" customHeight="true" outlineLevel="0" collapsed="false">
      <c r="A20" s="1" t="s">
        <v>23</v>
      </c>
      <c r="B20" s="3" t="n">
        <v>45717</v>
      </c>
      <c r="C20" s="1" t="s">
        <v>24</v>
      </c>
      <c r="D20" s="1" t="s">
        <v>16</v>
      </c>
      <c r="E20" s="1" t="n">
        <v>78831.12</v>
      </c>
      <c r="F20" s="1" t="n">
        <v>5538</v>
      </c>
      <c r="G20" s="1" t="n">
        <v>0</v>
      </c>
      <c r="H20" s="1" t="n">
        <v>15</v>
      </c>
      <c r="I20" s="1" t="n">
        <v>94.1</v>
      </c>
      <c r="J20" s="1" t="n">
        <v>0.2</v>
      </c>
      <c r="K20" s="1" t="n">
        <v>0</v>
      </c>
      <c r="L20" s="1" t="n">
        <v>3.9</v>
      </c>
      <c r="M20" s="1" t="n">
        <v>666573.2</v>
      </c>
      <c r="N20" s="1" t="n">
        <v>140641.02</v>
      </c>
    </row>
    <row r="21" customFormat="false" ht="15" hidden="false" customHeight="true" outlineLevel="0" collapsed="false">
      <c r="A21" s="1" t="s">
        <v>23</v>
      </c>
      <c r="B21" s="3" t="n">
        <v>45748</v>
      </c>
      <c r="C21" s="1" t="s">
        <v>24</v>
      </c>
      <c r="D21" s="1" t="s">
        <v>16</v>
      </c>
      <c r="E21" s="1" t="n">
        <v>41441.93</v>
      </c>
      <c r="F21" s="1" t="n">
        <v>4865</v>
      </c>
      <c r="G21" s="1" t="n">
        <v>0.158</v>
      </c>
      <c r="H21" s="1" t="n">
        <v>16</v>
      </c>
      <c r="I21" s="1" t="n">
        <v>88.3</v>
      </c>
      <c r="J21" s="1" t="n">
        <v>0.5</v>
      </c>
      <c r="K21" s="1" t="n">
        <v>0</v>
      </c>
      <c r="L21" s="1" t="n">
        <v>4</v>
      </c>
      <c r="M21" s="1" t="n">
        <v>591619.95</v>
      </c>
      <c r="N21" s="1" t="n">
        <v>99521.35</v>
      </c>
    </row>
    <row r="22" customFormat="false" ht="15" hidden="false" customHeight="true" outlineLevel="0" collapsed="false">
      <c r="A22" s="1" t="s">
        <v>25</v>
      </c>
      <c r="B22" s="3" t="n">
        <v>45658</v>
      </c>
      <c r="C22" s="1" t="s">
        <v>20</v>
      </c>
      <c r="D22" s="1" t="s">
        <v>16</v>
      </c>
      <c r="E22" s="1" t="n">
        <v>30356.28</v>
      </c>
      <c r="F22" s="1" t="n">
        <v>2822</v>
      </c>
      <c r="G22" s="1" t="n">
        <v>0.231</v>
      </c>
      <c r="H22" s="1" t="n">
        <v>9</v>
      </c>
      <c r="I22" s="1" t="n">
        <v>84.8</v>
      </c>
      <c r="J22" s="1" t="n">
        <v>6.95</v>
      </c>
      <c r="K22" s="1" t="n">
        <v>0</v>
      </c>
      <c r="L22" s="1" t="n">
        <v>5</v>
      </c>
      <c r="M22" s="1" t="n">
        <v>415721.82</v>
      </c>
      <c r="N22" s="1" t="n">
        <v>61179.15</v>
      </c>
    </row>
    <row r="23" customFormat="false" ht="15" hidden="false" customHeight="true" outlineLevel="0" collapsed="false">
      <c r="A23" s="1" t="s">
        <v>25</v>
      </c>
      <c r="B23" s="3" t="n">
        <v>45689</v>
      </c>
      <c r="C23" s="1" t="s">
        <v>20</v>
      </c>
      <c r="D23" s="1" t="s">
        <v>16</v>
      </c>
      <c r="E23" s="1" t="n">
        <v>33518.88</v>
      </c>
      <c r="F23" s="1" t="n">
        <v>2121</v>
      </c>
      <c r="G23" s="1" t="n">
        <v>0.176</v>
      </c>
      <c r="H23" s="1" t="n">
        <v>8</v>
      </c>
      <c r="I23" s="1" t="n">
        <v>88.5</v>
      </c>
      <c r="J23" s="1" t="n">
        <v>0.2</v>
      </c>
      <c r="K23" s="1" t="n">
        <v>0</v>
      </c>
      <c r="L23" s="1" t="n">
        <v>5</v>
      </c>
      <c r="M23" s="1" t="n">
        <v>491905.13</v>
      </c>
      <c r="N23" s="1" t="n">
        <v>79212.26</v>
      </c>
    </row>
    <row r="24" customFormat="false" ht="15" hidden="false" customHeight="true" outlineLevel="0" collapsed="false">
      <c r="A24" s="1" t="s">
        <v>25</v>
      </c>
      <c r="B24" s="3" t="n">
        <v>45717</v>
      </c>
      <c r="C24" s="1" t="s">
        <v>20</v>
      </c>
      <c r="D24" s="1" t="s">
        <v>16</v>
      </c>
      <c r="E24" s="1" t="n">
        <v>42267.37</v>
      </c>
      <c r="F24" s="1" t="n">
        <v>3364</v>
      </c>
      <c r="G24" s="1" t="n">
        <v>0.16</v>
      </c>
      <c r="H24" s="1" t="n">
        <v>13</v>
      </c>
      <c r="I24" s="1" t="n">
        <v>82</v>
      </c>
      <c r="J24" s="1" t="n">
        <v>1.61</v>
      </c>
      <c r="K24" s="1" t="n">
        <v>1</v>
      </c>
      <c r="L24" s="1" t="n">
        <v>4.6</v>
      </c>
      <c r="M24" s="1" t="n">
        <v>555929.4</v>
      </c>
      <c r="N24" s="1" t="n">
        <v>115201.76</v>
      </c>
    </row>
    <row r="25" customFormat="false" ht="15" hidden="false" customHeight="true" outlineLevel="0" collapsed="false">
      <c r="A25" s="1" t="s">
        <v>25</v>
      </c>
      <c r="B25" s="3" t="n">
        <v>45748</v>
      </c>
      <c r="C25" s="1" t="s">
        <v>20</v>
      </c>
      <c r="D25" s="1" t="s">
        <v>16</v>
      </c>
      <c r="E25" s="1" t="n">
        <v>62060.43</v>
      </c>
      <c r="F25" s="1" t="n">
        <v>2613</v>
      </c>
      <c r="G25" s="1" t="n">
        <v>0.216</v>
      </c>
      <c r="H25" s="1" t="n">
        <v>12</v>
      </c>
      <c r="I25" s="1" t="n">
        <v>92.1</v>
      </c>
      <c r="J25" s="1" t="n">
        <v>1.55</v>
      </c>
      <c r="K25" s="1" t="n">
        <v>0</v>
      </c>
      <c r="L25" s="1" t="n">
        <v>4.7</v>
      </c>
      <c r="M25" s="1" t="n">
        <v>565810.99</v>
      </c>
      <c r="N25" s="1" t="n">
        <v>77825.46</v>
      </c>
    </row>
    <row r="26" customFormat="false" ht="15" hidden="false" customHeight="true" outlineLevel="0" collapsed="false">
      <c r="A26" s="1" t="s">
        <v>26</v>
      </c>
      <c r="B26" s="3" t="n">
        <v>45658</v>
      </c>
      <c r="C26" s="1" t="s">
        <v>27</v>
      </c>
      <c r="D26" s="1" t="s">
        <v>28</v>
      </c>
      <c r="E26" s="1" t="n">
        <v>57696.69</v>
      </c>
      <c r="F26" s="1" t="n">
        <v>10218</v>
      </c>
      <c r="G26" s="1" t="n">
        <v>0.121</v>
      </c>
      <c r="H26" s="1" t="n">
        <v>25</v>
      </c>
      <c r="I26" s="1" t="n">
        <v>94.8</v>
      </c>
      <c r="J26" s="1" t="n">
        <v>2.99</v>
      </c>
      <c r="K26" s="1" t="n">
        <v>0</v>
      </c>
      <c r="L26" s="1" t="n">
        <v>3.5</v>
      </c>
      <c r="M26" s="1" t="n">
        <v>811771.14</v>
      </c>
      <c r="N26" s="1" t="n">
        <v>148756.24</v>
      </c>
    </row>
    <row r="27" customFormat="false" ht="15" hidden="false" customHeight="true" outlineLevel="0" collapsed="false">
      <c r="A27" s="1" t="s">
        <v>26</v>
      </c>
      <c r="B27" s="3" t="n">
        <v>45689</v>
      </c>
      <c r="C27" s="1" t="s">
        <v>27</v>
      </c>
      <c r="D27" s="1" t="s">
        <v>28</v>
      </c>
      <c r="E27" s="1" t="n">
        <v>172415.52</v>
      </c>
      <c r="F27" s="1" t="n">
        <v>8927</v>
      </c>
      <c r="G27" s="1" t="n">
        <v>0.14</v>
      </c>
      <c r="H27" s="1" t="n">
        <v>22</v>
      </c>
      <c r="I27" s="1" t="n">
        <v>86.2</v>
      </c>
      <c r="J27" s="1" t="n">
        <v>7.04</v>
      </c>
      <c r="K27" s="1" t="n">
        <v>0</v>
      </c>
      <c r="L27" s="1" t="n">
        <v>3.9</v>
      </c>
      <c r="M27" s="1" t="n">
        <v>800451.94</v>
      </c>
      <c r="N27" s="1" t="n">
        <v>111572.29</v>
      </c>
    </row>
    <row r="28" customFormat="false" ht="15" hidden="false" customHeight="true" outlineLevel="0" collapsed="false">
      <c r="A28" s="1" t="s">
        <v>26</v>
      </c>
      <c r="B28" s="3" t="n">
        <v>45717</v>
      </c>
      <c r="C28" s="1" t="s">
        <v>27</v>
      </c>
      <c r="D28" s="1" t="s">
        <v>28</v>
      </c>
      <c r="E28" s="1" t="n">
        <v>55270.52</v>
      </c>
      <c r="F28" s="1" t="n">
        <v>9315</v>
      </c>
      <c r="G28" s="1" t="n">
        <v>0.169</v>
      </c>
      <c r="H28" s="1" t="n">
        <v>23</v>
      </c>
      <c r="I28" s="1" t="n">
        <v>91.9</v>
      </c>
      <c r="J28" s="1" t="n">
        <v>4.94</v>
      </c>
      <c r="K28" s="1" t="n">
        <v>0</v>
      </c>
      <c r="L28" s="1" t="n">
        <v>4</v>
      </c>
      <c r="M28" s="1" t="n">
        <v>783672.82</v>
      </c>
      <c r="N28" s="1" t="n">
        <v>112577.14</v>
      </c>
    </row>
    <row r="29" customFormat="false" ht="15" hidden="false" customHeight="true" outlineLevel="0" collapsed="false">
      <c r="A29" s="1" t="s">
        <v>26</v>
      </c>
      <c r="B29" s="3" t="n">
        <v>45748</v>
      </c>
      <c r="C29" s="1" t="s">
        <v>27</v>
      </c>
      <c r="D29" s="1" t="s">
        <v>28</v>
      </c>
      <c r="E29" s="1" t="n">
        <v>52715.1</v>
      </c>
      <c r="F29" s="1" t="n">
        <v>7223</v>
      </c>
      <c r="G29" s="1" t="n">
        <v>0.122</v>
      </c>
      <c r="H29" s="1" t="n">
        <v>16</v>
      </c>
      <c r="I29" s="1" t="n">
        <v>84.2</v>
      </c>
      <c r="J29" s="1" t="n">
        <v>16.15</v>
      </c>
      <c r="K29" s="1" t="n">
        <v>0</v>
      </c>
      <c r="L29" s="1" t="n">
        <v>3.7</v>
      </c>
      <c r="M29" s="1" t="n">
        <v>701641.97</v>
      </c>
      <c r="N29" s="1" t="n">
        <v>106111.86</v>
      </c>
    </row>
    <row r="30" customFormat="false" ht="15" hidden="false" customHeight="true" outlineLevel="0" collapsed="false">
      <c r="A30" s="1" t="s">
        <v>29</v>
      </c>
      <c r="B30" s="3" t="n">
        <v>45658</v>
      </c>
      <c r="C30" s="1" t="s">
        <v>15</v>
      </c>
      <c r="D30" s="1" t="s">
        <v>16</v>
      </c>
      <c r="E30" s="1" t="n">
        <v>68600.62</v>
      </c>
      <c r="F30" s="1" t="n">
        <v>3988</v>
      </c>
      <c r="G30" s="1" t="n">
        <v>0.124</v>
      </c>
      <c r="H30" s="1" t="n">
        <v>11</v>
      </c>
      <c r="I30" s="1" t="n">
        <v>85</v>
      </c>
      <c r="J30" s="1" t="n">
        <v>0.48</v>
      </c>
      <c r="K30" s="1" t="n">
        <v>0</v>
      </c>
      <c r="L30" s="1" t="n">
        <v>3.6</v>
      </c>
      <c r="M30" s="1" t="n">
        <v>511844.41</v>
      </c>
      <c r="N30" s="1" t="n">
        <v>72774.44</v>
      </c>
    </row>
    <row r="31" customFormat="false" ht="15" hidden="false" customHeight="true" outlineLevel="0" collapsed="false">
      <c r="A31" s="1" t="s">
        <v>29</v>
      </c>
      <c r="B31" s="3" t="n">
        <v>45689</v>
      </c>
      <c r="C31" s="1" t="s">
        <v>15</v>
      </c>
      <c r="D31" s="1" t="s">
        <v>16</v>
      </c>
      <c r="E31" s="1" t="n">
        <v>63176.73</v>
      </c>
      <c r="F31" s="1" t="n">
        <v>2390</v>
      </c>
      <c r="G31" s="1" t="n">
        <v>0.216</v>
      </c>
      <c r="H31" s="1" t="n">
        <v>9</v>
      </c>
      <c r="I31" s="1" t="n">
        <v>87.5</v>
      </c>
      <c r="J31" s="1" t="n">
        <v>0.31</v>
      </c>
      <c r="K31" s="1" t="n">
        <v>0</v>
      </c>
      <c r="L31" s="1" t="n">
        <v>3.1</v>
      </c>
      <c r="M31" s="1" t="n">
        <v>537383.79</v>
      </c>
      <c r="N31" s="1" t="n">
        <v>63773.27</v>
      </c>
    </row>
    <row r="32" customFormat="false" ht="15" hidden="false" customHeight="true" outlineLevel="0" collapsed="false">
      <c r="A32" s="1" t="s">
        <v>29</v>
      </c>
      <c r="B32" s="3" t="n">
        <v>45717</v>
      </c>
      <c r="C32" s="1" t="s">
        <v>15</v>
      </c>
      <c r="D32" s="1" t="s">
        <v>16</v>
      </c>
      <c r="E32" s="1" t="n">
        <v>44970.08</v>
      </c>
      <c r="F32" s="1" t="n">
        <v>2471</v>
      </c>
      <c r="G32" s="1" t="n">
        <v>0.136</v>
      </c>
      <c r="H32" s="1" t="n">
        <v>11</v>
      </c>
      <c r="I32" s="1" t="n">
        <v>87.6</v>
      </c>
      <c r="J32" s="1" t="n">
        <v>3.01</v>
      </c>
      <c r="K32" s="1" t="n">
        <v>1</v>
      </c>
      <c r="L32" s="1" t="n">
        <v>3.7</v>
      </c>
      <c r="M32" s="1" t="n">
        <v>500173.02</v>
      </c>
      <c r="N32" s="1" t="n">
        <v>70982.05</v>
      </c>
    </row>
    <row r="33" customFormat="false" ht="15" hidden="false" customHeight="true" outlineLevel="0" collapsed="false">
      <c r="A33" s="1" t="s">
        <v>29</v>
      </c>
      <c r="B33" s="3" t="n">
        <v>45748</v>
      </c>
      <c r="C33" s="1" t="s">
        <v>15</v>
      </c>
      <c r="D33" s="1" t="s">
        <v>16</v>
      </c>
      <c r="E33" s="1" t="n">
        <v>69816.35</v>
      </c>
      <c r="F33" s="1" t="n">
        <v>971</v>
      </c>
      <c r="G33" s="1" t="n">
        <v>0.168</v>
      </c>
      <c r="H33" s="1" t="n">
        <v>5</v>
      </c>
      <c r="I33" s="1" t="n">
        <v>89.9</v>
      </c>
      <c r="J33" s="1" t="n">
        <v>12.15</v>
      </c>
      <c r="K33" s="1" t="n">
        <v>0</v>
      </c>
      <c r="L33" s="1" t="n">
        <v>3.6</v>
      </c>
      <c r="M33" s="1" t="n">
        <v>427917.38</v>
      </c>
      <c r="N33" s="1" t="n">
        <v>81824.31</v>
      </c>
    </row>
    <row r="34" customFormat="false" ht="15" hidden="false" customHeight="true" outlineLevel="0" collapsed="false">
      <c r="A34" s="1" t="s">
        <v>30</v>
      </c>
      <c r="B34" s="3" t="n">
        <v>45658</v>
      </c>
      <c r="C34" s="1" t="s">
        <v>20</v>
      </c>
      <c r="D34" s="1" t="s">
        <v>16</v>
      </c>
      <c r="E34" s="1" t="n">
        <v>54597.83</v>
      </c>
      <c r="F34" s="1" t="n">
        <v>9429</v>
      </c>
      <c r="G34" s="1" t="n">
        <v>0.188</v>
      </c>
      <c r="H34" s="1" t="n">
        <v>21</v>
      </c>
      <c r="I34" s="1" t="n">
        <v>83.3</v>
      </c>
      <c r="J34" s="1" t="n">
        <v>11.71</v>
      </c>
      <c r="K34" s="1" t="n">
        <v>0</v>
      </c>
      <c r="L34" s="1" t="n">
        <v>4.2</v>
      </c>
      <c r="M34" s="1" t="n">
        <v>641865.03</v>
      </c>
      <c r="N34" s="1" t="n">
        <v>81342.58</v>
      </c>
    </row>
    <row r="35" customFormat="false" ht="15" hidden="false" customHeight="true" outlineLevel="0" collapsed="false">
      <c r="A35" s="1" t="s">
        <v>30</v>
      </c>
      <c r="B35" s="3" t="n">
        <v>45689</v>
      </c>
      <c r="C35" s="1" t="s">
        <v>20</v>
      </c>
      <c r="D35" s="1" t="s">
        <v>16</v>
      </c>
      <c r="E35" s="1" t="n">
        <v>73771.91</v>
      </c>
      <c r="F35" s="1" t="n">
        <v>11695</v>
      </c>
      <c r="G35" s="1" t="n">
        <v>0.07</v>
      </c>
      <c r="H35" s="1" t="n">
        <v>25</v>
      </c>
      <c r="I35" s="1" t="n">
        <v>84.7</v>
      </c>
      <c r="J35" s="1" t="n">
        <v>0.62</v>
      </c>
      <c r="K35" s="1" t="n">
        <v>0</v>
      </c>
      <c r="M35" s="1" t="n">
        <v>799477.76</v>
      </c>
      <c r="N35" s="1" t="n">
        <v>164974.41</v>
      </c>
    </row>
    <row r="36" customFormat="false" ht="15" hidden="false" customHeight="true" outlineLevel="0" collapsed="false">
      <c r="A36" s="1" t="s">
        <v>30</v>
      </c>
      <c r="B36" s="3" t="n">
        <v>45717</v>
      </c>
      <c r="C36" s="1" t="s">
        <v>20</v>
      </c>
      <c r="D36" s="1" t="s">
        <v>16</v>
      </c>
      <c r="E36" s="1" t="n">
        <v>74413.88</v>
      </c>
      <c r="F36" s="1" t="n">
        <v>9449</v>
      </c>
      <c r="G36" s="1" t="n">
        <v>0.039</v>
      </c>
      <c r="H36" s="1" t="n">
        <v>23</v>
      </c>
      <c r="I36" s="1" t="n">
        <v>92.1</v>
      </c>
      <c r="J36" s="1" t="n">
        <v>2.12</v>
      </c>
      <c r="K36" s="1" t="n">
        <v>0</v>
      </c>
      <c r="L36" s="1" t="n">
        <v>3.5</v>
      </c>
      <c r="M36" s="1" t="n">
        <v>798952.17</v>
      </c>
      <c r="N36" s="1" t="n">
        <v>161499.04</v>
      </c>
    </row>
    <row r="37" customFormat="false" ht="15" hidden="false" customHeight="true" outlineLevel="0" collapsed="false">
      <c r="A37" s="1" t="s">
        <v>30</v>
      </c>
      <c r="B37" s="3" t="n">
        <v>45748</v>
      </c>
      <c r="C37" s="1" t="s">
        <v>20</v>
      </c>
      <c r="D37" s="1" t="s">
        <v>16</v>
      </c>
      <c r="E37" s="1" t="n">
        <v>52483.77</v>
      </c>
      <c r="F37" s="1" t="n">
        <v>10453</v>
      </c>
      <c r="G37" s="1" t="n">
        <v>0.247</v>
      </c>
      <c r="H37" s="1" t="n">
        <v>25</v>
      </c>
      <c r="I37" s="1" t="n">
        <v>99</v>
      </c>
      <c r="J37" s="1" t="n">
        <v>6.31</v>
      </c>
      <c r="K37" s="1" t="n">
        <v>0</v>
      </c>
      <c r="L37" s="1" t="n">
        <v>3.6</v>
      </c>
      <c r="M37" s="1" t="n">
        <v>800979.78</v>
      </c>
      <c r="N37" s="1" t="n">
        <v>149242.27</v>
      </c>
    </row>
    <row r="38" customFormat="false" ht="15" hidden="false" customHeight="true" outlineLevel="0" collapsed="false">
      <c r="A38" s="1" t="s">
        <v>31</v>
      </c>
      <c r="B38" s="3" t="n">
        <v>45658</v>
      </c>
      <c r="C38" s="1" t="s">
        <v>20</v>
      </c>
      <c r="D38" s="1" t="s">
        <v>28</v>
      </c>
      <c r="E38" s="1" t="n">
        <v>75269.87</v>
      </c>
      <c r="F38" s="1" t="n">
        <v>8838</v>
      </c>
      <c r="G38" s="1" t="n">
        <v>0.092</v>
      </c>
      <c r="H38" s="1" t="n">
        <v>21</v>
      </c>
      <c r="I38" s="1" t="n">
        <v>83.1</v>
      </c>
      <c r="J38" s="1" t="n">
        <v>9.56</v>
      </c>
      <c r="K38" s="1" t="n">
        <v>1</v>
      </c>
      <c r="L38" s="1" t="n">
        <v>4.2</v>
      </c>
      <c r="M38" s="1" t="n">
        <v>820593.93</v>
      </c>
      <c r="N38" s="1" t="n">
        <v>115860.06</v>
      </c>
    </row>
    <row r="39" customFormat="false" ht="15" hidden="false" customHeight="true" outlineLevel="0" collapsed="false">
      <c r="A39" s="1" t="s">
        <v>31</v>
      </c>
      <c r="B39" s="3" t="n">
        <v>45689</v>
      </c>
      <c r="C39" s="1" t="s">
        <v>20</v>
      </c>
      <c r="D39" s="1" t="s">
        <v>28</v>
      </c>
      <c r="E39" s="1" t="n">
        <v>61245.41</v>
      </c>
      <c r="F39" s="1" t="n">
        <v>8156</v>
      </c>
      <c r="G39" s="1" t="n">
        <v>0.156</v>
      </c>
      <c r="H39" s="1" t="n">
        <v>19</v>
      </c>
      <c r="I39" s="1" t="n">
        <v>92.9</v>
      </c>
      <c r="J39" s="1" t="n">
        <v>9.05</v>
      </c>
      <c r="K39" s="1" t="n">
        <v>0</v>
      </c>
      <c r="L39" s="1" t="n">
        <v>3.8</v>
      </c>
      <c r="M39" s="1" t="n">
        <v>718330.53</v>
      </c>
      <c r="N39" s="1" t="n">
        <v>93247.9</v>
      </c>
    </row>
    <row r="40" customFormat="false" ht="15" hidden="false" customHeight="true" outlineLevel="0" collapsed="false">
      <c r="A40" s="1" t="s">
        <v>31</v>
      </c>
      <c r="B40" s="3" t="n">
        <v>45717</v>
      </c>
      <c r="C40" s="1" t="s">
        <v>20</v>
      </c>
      <c r="D40" s="1" t="s">
        <v>28</v>
      </c>
      <c r="E40" s="1" t="n">
        <v>93381.26</v>
      </c>
      <c r="F40" s="1" t="n">
        <v>7562</v>
      </c>
      <c r="G40" s="1" t="n">
        <v>0.198</v>
      </c>
      <c r="H40" s="1" t="n">
        <v>19</v>
      </c>
      <c r="I40" s="1" t="n">
        <v>82.9</v>
      </c>
      <c r="J40" s="1" t="n">
        <v>5.05</v>
      </c>
      <c r="K40" s="1" t="n">
        <v>0</v>
      </c>
      <c r="L40" s="1" t="n">
        <v>4</v>
      </c>
      <c r="M40" s="1" t="n">
        <v>736633.4</v>
      </c>
      <c r="N40" s="1" t="n">
        <v>115654.66</v>
      </c>
    </row>
    <row r="41" customFormat="false" ht="15" hidden="false" customHeight="true" outlineLevel="0" collapsed="false">
      <c r="A41" s="1" t="s">
        <v>31</v>
      </c>
      <c r="B41" s="3" t="n">
        <v>45748</v>
      </c>
      <c r="C41" s="1" t="s">
        <v>20</v>
      </c>
      <c r="D41" s="1" t="s">
        <v>28</v>
      </c>
      <c r="E41" s="1" t="n">
        <v>65012.19</v>
      </c>
      <c r="F41" s="1" t="n">
        <v>9598</v>
      </c>
      <c r="G41" s="1" t="n">
        <v>0.085</v>
      </c>
      <c r="H41" s="1" t="n">
        <v>24</v>
      </c>
      <c r="I41" s="1" t="n">
        <v>98.3</v>
      </c>
      <c r="J41" s="1" t="n">
        <v>0.89</v>
      </c>
      <c r="K41" s="1" t="n">
        <v>0</v>
      </c>
      <c r="L41" s="1" t="n">
        <v>3.8</v>
      </c>
      <c r="M41" s="1" t="n">
        <v>828623.85</v>
      </c>
      <c r="N41" s="1" t="n">
        <v>167320.52</v>
      </c>
    </row>
    <row r="42" customFormat="false" ht="15" hidden="false" customHeight="true" outlineLevel="0" collapsed="false">
      <c r="A42" s="1" t="s">
        <v>32</v>
      </c>
      <c r="B42" s="3" t="n">
        <v>45658</v>
      </c>
      <c r="C42" s="1" t="s">
        <v>15</v>
      </c>
      <c r="D42" s="1" t="s">
        <v>28</v>
      </c>
      <c r="E42" s="1" t="n">
        <v>40462.94</v>
      </c>
      <c r="F42" s="1" t="n">
        <v>3660</v>
      </c>
      <c r="G42" s="1" t="n">
        <v>0.218</v>
      </c>
      <c r="H42" s="1" t="n">
        <v>11</v>
      </c>
      <c r="I42" s="1" t="n">
        <v>95.2</v>
      </c>
      <c r="J42" s="1" t="n">
        <v>5.57</v>
      </c>
      <c r="K42" s="1" t="n">
        <v>0</v>
      </c>
      <c r="L42" s="1" t="n">
        <v>4.4</v>
      </c>
      <c r="M42" s="1" t="n">
        <v>592195.85</v>
      </c>
      <c r="N42" s="1" t="n">
        <v>92291.56</v>
      </c>
    </row>
    <row r="43" customFormat="false" ht="15" hidden="false" customHeight="true" outlineLevel="0" collapsed="false">
      <c r="A43" s="1" t="s">
        <v>32</v>
      </c>
      <c r="B43" s="3" t="n">
        <v>45689</v>
      </c>
      <c r="C43" s="1" t="s">
        <v>15</v>
      </c>
      <c r="D43" s="1" t="s">
        <v>28</v>
      </c>
      <c r="E43" s="1" t="n">
        <v>46123.88</v>
      </c>
      <c r="F43" s="1" t="n">
        <v>3227</v>
      </c>
      <c r="G43" s="1" t="n">
        <v>0.143</v>
      </c>
      <c r="H43" s="1" t="n">
        <v>10</v>
      </c>
      <c r="I43" s="1" t="n">
        <v>75.4</v>
      </c>
      <c r="J43" s="1" t="n">
        <v>1.06</v>
      </c>
      <c r="K43" s="1" t="n">
        <v>0</v>
      </c>
      <c r="L43" s="1" t="n">
        <v>4.4</v>
      </c>
      <c r="M43" s="1" t="n">
        <v>532644.46</v>
      </c>
      <c r="N43" s="1" t="n">
        <v>60681.32</v>
      </c>
    </row>
    <row r="44" customFormat="false" ht="15" hidden="false" customHeight="true" outlineLevel="0" collapsed="false">
      <c r="A44" s="1" t="s">
        <v>32</v>
      </c>
      <c r="B44" s="3" t="n">
        <v>45717</v>
      </c>
      <c r="C44" s="1" t="s">
        <v>15</v>
      </c>
      <c r="D44" s="1" t="s">
        <v>28</v>
      </c>
      <c r="E44" s="1" t="n">
        <v>68077.54</v>
      </c>
      <c r="F44" s="1" t="n">
        <v>3360</v>
      </c>
      <c r="G44" s="1" t="n">
        <v>0.128</v>
      </c>
      <c r="H44" s="1" t="n">
        <v>14</v>
      </c>
      <c r="I44" s="1" t="n">
        <v>88.2</v>
      </c>
      <c r="J44" s="1" t="n">
        <v>1.24</v>
      </c>
      <c r="K44" s="1" t="n">
        <v>1</v>
      </c>
      <c r="L44" s="1" t="n">
        <v>4</v>
      </c>
      <c r="M44" s="1" t="n">
        <v>657429.18</v>
      </c>
      <c r="N44" s="1" t="n">
        <v>88919.74</v>
      </c>
    </row>
    <row r="45" customFormat="false" ht="15" hidden="false" customHeight="true" outlineLevel="0" collapsed="false">
      <c r="A45" s="1" t="s">
        <v>32</v>
      </c>
      <c r="B45" s="3" t="n">
        <v>45748</v>
      </c>
      <c r="C45" s="1" t="s">
        <v>15</v>
      </c>
      <c r="D45" s="1" t="s">
        <v>28</v>
      </c>
      <c r="E45" s="1" t="n">
        <v>64882.14</v>
      </c>
      <c r="F45" s="1" t="n">
        <v>3642</v>
      </c>
      <c r="G45" s="1" t="n">
        <v>0.019</v>
      </c>
      <c r="H45" s="1" t="n">
        <v>13</v>
      </c>
      <c r="I45" s="1" t="n">
        <v>87.8</v>
      </c>
      <c r="J45" s="1" t="n">
        <v>4.52</v>
      </c>
      <c r="K45" s="1" t="n">
        <v>0</v>
      </c>
      <c r="L45" s="1" t="n">
        <v>4.2</v>
      </c>
      <c r="M45" s="1" t="n">
        <v>605178</v>
      </c>
      <c r="N45" s="1" t="n">
        <v>106958.74</v>
      </c>
    </row>
    <row r="46" customFormat="false" ht="15" hidden="false" customHeight="true" outlineLevel="0" collapsed="false">
      <c r="A46" s="1" t="s">
        <v>33</v>
      </c>
      <c r="B46" s="3" t="n">
        <v>45658</v>
      </c>
      <c r="C46" s="1" t="s">
        <v>27</v>
      </c>
      <c r="D46" s="1" t="s">
        <v>16</v>
      </c>
      <c r="E46" s="1" t="n">
        <v>138855.51</v>
      </c>
      <c r="F46" s="1" t="n">
        <v>5145</v>
      </c>
      <c r="G46" s="1" t="n">
        <v>0.06</v>
      </c>
      <c r="H46" s="1" t="n">
        <v>17</v>
      </c>
      <c r="I46" s="1" t="n">
        <v>88.2</v>
      </c>
      <c r="J46" s="1" t="n">
        <v>9.58</v>
      </c>
      <c r="K46" s="1" t="n">
        <v>0</v>
      </c>
      <c r="L46" s="1" t="n">
        <v>3.2</v>
      </c>
      <c r="M46" s="1" t="n">
        <v>595467.6</v>
      </c>
      <c r="N46" s="1" t="n">
        <v>104276.46</v>
      </c>
    </row>
    <row r="47" customFormat="false" ht="15" hidden="false" customHeight="true" outlineLevel="0" collapsed="false">
      <c r="A47" s="1" t="s">
        <v>33</v>
      </c>
      <c r="B47" s="3" t="n">
        <v>45689</v>
      </c>
      <c r="C47" s="1" t="s">
        <v>27</v>
      </c>
      <c r="D47" s="1" t="s">
        <v>16</v>
      </c>
      <c r="E47" s="1" t="n">
        <v>63630.21</v>
      </c>
      <c r="F47" s="1" t="n">
        <v>4460</v>
      </c>
      <c r="G47" s="1" t="n">
        <v>0.235</v>
      </c>
      <c r="H47" s="1" t="n">
        <v>14</v>
      </c>
      <c r="I47" s="1" t="n">
        <v>98.6</v>
      </c>
      <c r="J47" s="1" t="n">
        <v>5.52</v>
      </c>
      <c r="K47" s="1" t="n">
        <v>0</v>
      </c>
      <c r="L47" s="1" t="n">
        <v>3.5</v>
      </c>
      <c r="M47" s="1" t="n">
        <v>599603.4</v>
      </c>
      <c r="N47" s="1" t="n">
        <v>112685.12</v>
      </c>
    </row>
    <row r="48" customFormat="false" ht="15" hidden="false" customHeight="true" outlineLevel="0" collapsed="false">
      <c r="A48" s="1" t="s">
        <v>33</v>
      </c>
      <c r="B48" s="3" t="n">
        <v>45717</v>
      </c>
      <c r="C48" s="1" t="s">
        <v>27</v>
      </c>
      <c r="D48" s="1" t="s">
        <v>16</v>
      </c>
      <c r="E48" s="1" t="n">
        <v>50043.65</v>
      </c>
      <c r="F48" s="1" t="n">
        <v>3804</v>
      </c>
      <c r="G48" s="1" t="n">
        <v>0.113</v>
      </c>
      <c r="H48" s="1" t="n">
        <v>11</v>
      </c>
      <c r="I48" s="1" t="n">
        <v>90.9</v>
      </c>
      <c r="J48" s="1" t="n">
        <v>2.7</v>
      </c>
      <c r="K48" s="1" t="n">
        <v>1</v>
      </c>
      <c r="L48" s="1" t="n">
        <v>3.2</v>
      </c>
      <c r="M48" s="1" t="n">
        <v>614800.09</v>
      </c>
      <c r="N48" s="1" t="n">
        <v>100044.2</v>
      </c>
    </row>
    <row r="49" customFormat="false" ht="15" hidden="false" customHeight="true" outlineLevel="0" collapsed="false">
      <c r="A49" s="1" t="s">
        <v>33</v>
      </c>
      <c r="B49" s="3" t="n">
        <v>45748</v>
      </c>
      <c r="C49" s="1" t="s">
        <v>27</v>
      </c>
      <c r="D49" s="1" t="s">
        <v>16</v>
      </c>
      <c r="E49" s="1" t="n">
        <v>42093.84</v>
      </c>
      <c r="F49" s="1" t="n">
        <v>4074</v>
      </c>
      <c r="G49" s="1" t="n">
        <v>0.155</v>
      </c>
      <c r="H49" s="1" t="n">
        <v>15</v>
      </c>
      <c r="I49" s="1" t="n">
        <v>88</v>
      </c>
      <c r="J49" s="1" t="n">
        <v>9.64</v>
      </c>
      <c r="K49" s="1" t="n">
        <v>0</v>
      </c>
      <c r="L49" s="1" t="n">
        <v>3.3</v>
      </c>
      <c r="M49" s="1" t="n">
        <v>585365.73</v>
      </c>
      <c r="N49" s="1" t="n">
        <v>81011.52</v>
      </c>
    </row>
    <row r="50" customFormat="false" ht="15" hidden="false" customHeight="true" outlineLevel="0" collapsed="false">
      <c r="A50" s="1" t="s">
        <v>34</v>
      </c>
      <c r="B50" s="3" t="n">
        <v>45658</v>
      </c>
      <c r="C50" s="1" t="s">
        <v>20</v>
      </c>
      <c r="D50" s="1" t="s">
        <v>28</v>
      </c>
      <c r="E50" s="1" t="n">
        <v>46624.05</v>
      </c>
      <c r="F50" s="1" t="n">
        <v>5104</v>
      </c>
      <c r="G50" s="1" t="n">
        <v>0.109</v>
      </c>
      <c r="H50" s="1" t="n">
        <v>11</v>
      </c>
      <c r="I50" s="1" t="n">
        <v>97.3</v>
      </c>
      <c r="J50" s="1" t="n">
        <v>3.49</v>
      </c>
      <c r="K50" s="1" t="n">
        <v>1</v>
      </c>
      <c r="L50" s="1" t="n">
        <v>4.7</v>
      </c>
      <c r="M50" s="1" t="n">
        <v>622811.74</v>
      </c>
      <c r="N50" s="1" t="n">
        <v>109978.35</v>
      </c>
    </row>
    <row r="51" customFormat="false" ht="15" hidden="false" customHeight="true" outlineLevel="0" collapsed="false">
      <c r="A51" s="1" t="s">
        <v>34</v>
      </c>
      <c r="B51" s="3" t="n">
        <v>45689</v>
      </c>
      <c r="C51" s="1" t="s">
        <v>20</v>
      </c>
      <c r="D51" s="1" t="s">
        <v>28</v>
      </c>
      <c r="E51" s="1" t="n">
        <v>49710.29</v>
      </c>
      <c r="F51" s="1" t="n">
        <v>5559</v>
      </c>
      <c r="G51" s="1" t="n">
        <v>0.218</v>
      </c>
      <c r="H51" s="1" t="n">
        <v>14</v>
      </c>
      <c r="I51" s="1" t="n">
        <v>71</v>
      </c>
      <c r="J51" s="1" t="n">
        <v>9.11</v>
      </c>
      <c r="K51" s="1" t="n">
        <v>0</v>
      </c>
      <c r="L51" s="1" t="n">
        <v>4.6</v>
      </c>
      <c r="M51" s="1" t="n">
        <v>603297.57</v>
      </c>
      <c r="N51" s="1" t="n">
        <v>60592.26</v>
      </c>
    </row>
    <row r="52" customFormat="false" ht="15" hidden="false" customHeight="true" outlineLevel="0" collapsed="false">
      <c r="A52" s="1" t="s">
        <v>34</v>
      </c>
      <c r="B52" s="3" t="n">
        <v>45717</v>
      </c>
      <c r="C52" s="1" t="s">
        <v>20</v>
      </c>
      <c r="D52" s="1" t="s">
        <v>28</v>
      </c>
      <c r="E52" s="1" t="n">
        <v>48287.85</v>
      </c>
      <c r="F52" s="1" t="n">
        <v>5150</v>
      </c>
      <c r="G52" s="1" t="n">
        <v>0.008</v>
      </c>
      <c r="H52" s="1" t="n">
        <v>12</v>
      </c>
      <c r="I52" s="1" t="n">
        <v>80.4</v>
      </c>
      <c r="J52" s="1" t="n">
        <v>7.4</v>
      </c>
      <c r="K52" s="1" t="n">
        <v>0</v>
      </c>
      <c r="L52" s="1" t="n">
        <v>4.5</v>
      </c>
      <c r="M52" s="1" t="n">
        <v>625672.86</v>
      </c>
      <c r="N52" s="1" t="n">
        <v>118020.12</v>
      </c>
    </row>
    <row r="53" customFormat="false" ht="15" hidden="false" customHeight="true" outlineLevel="0" collapsed="false">
      <c r="A53" s="1" t="s">
        <v>34</v>
      </c>
      <c r="B53" s="3" t="n">
        <v>45748</v>
      </c>
      <c r="C53" s="1" t="s">
        <v>20</v>
      </c>
      <c r="D53" s="1" t="s">
        <v>28</v>
      </c>
      <c r="E53" s="1" t="n">
        <v>65312.49</v>
      </c>
      <c r="F53" s="1" t="n">
        <v>7189</v>
      </c>
      <c r="G53" s="1" t="n">
        <v>0.05</v>
      </c>
      <c r="H53" s="1" t="n">
        <v>19</v>
      </c>
      <c r="I53" s="1" t="n">
        <v>93.7</v>
      </c>
      <c r="J53" s="1" t="n">
        <v>7.16</v>
      </c>
      <c r="K53" s="1" t="n">
        <v>0</v>
      </c>
      <c r="L53" s="1" t="n">
        <v>4.6</v>
      </c>
      <c r="M53" s="1" t="n">
        <v>773815.14</v>
      </c>
      <c r="N53" s="1" t="n">
        <v>133948.39</v>
      </c>
    </row>
    <row r="54" customFormat="false" ht="15" hidden="false" customHeight="true" outlineLevel="0" collapsed="false">
      <c r="A54" s="1" t="s">
        <v>35</v>
      </c>
      <c r="B54" s="3" t="n">
        <v>45658</v>
      </c>
      <c r="C54" s="1" t="s">
        <v>27</v>
      </c>
      <c r="D54" s="1" t="s">
        <v>18</v>
      </c>
      <c r="E54" s="1" t="n">
        <v>53015.46</v>
      </c>
      <c r="F54" s="1" t="n">
        <v>3279</v>
      </c>
      <c r="G54" s="1" t="n">
        <v>0.087</v>
      </c>
      <c r="H54" s="1" t="n">
        <v>9</v>
      </c>
      <c r="I54" s="1" t="n">
        <v>84.3</v>
      </c>
      <c r="J54" s="1" t="n">
        <v>22.02</v>
      </c>
      <c r="K54" s="1" t="n">
        <v>0</v>
      </c>
      <c r="L54" s="1" t="n">
        <v>3.9</v>
      </c>
      <c r="M54" s="1" t="n">
        <v>463534.25</v>
      </c>
      <c r="N54" s="1" t="n">
        <v>81834.54</v>
      </c>
    </row>
    <row r="55" customFormat="false" ht="15" hidden="false" customHeight="true" outlineLevel="0" collapsed="false">
      <c r="A55" s="1" t="s">
        <v>35</v>
      </c>
      <c r="B55" s="3" t="n">
        <v>45689</v>
      </c>
      <c r="C55" s="1" t="s">
        <v>27</v>
      </c>
      <c r="D55" s="1" t="s">
        <v>18</v>
      </c>
      <c r="E55" s="1" t="n">
        <v>99874.01</v>
      </c>
      <c r="F55" s="1" t="n">
        <v>5887</v>
      </c>
      <c r="G55" s="1" t="n">
        <v>0.262</v>
      </c>
      <c r="H55" s="1" t="n">
        <v>14</v>
      </c>
      <c r="I55" s="1" t="n">
        <v>88.7</v>
      </c>
      <c r="J55" s="1" t="n">
        <v>6.18</v>
      </c>
      <c r="K55" s="1" t="n">
        <v>0</v>
      </c>
      <c r="L55" s="1" t="n">
        <v>4.7</v>
      </c>
      <c r="M55" s="1" t="n">
        <v>746677.75</v>
      </c>
      <c r="N55" s="1" t="n">
        <v>122437.84</v>
      </c>
    </row>
    <row r="56" customFormat="false" ht="15" hidden="false" customHeight="true" outlineLevel="0" collapsed="false">
      <c r="A56" s="1" t="s">
        <v>35</v>
      </c>
      <c r="B56" s="3" t="n">
        <v>45717</v>
      </c>
      <c r="C56" s="1" t="s">
        <v>27</v>
      </c>
      <c r="D56" s="1" t="s">
        <v>18</v>
      </c>
      <c r="E56" s="1" t="n">
        <v>81195.5</v>
      </c>
      <c r="F56" s="1" t="n">
        <v>5516</v>
      </c>
      <c r="G56" s="1" t="n">
        <v>0.106</v>
      </c>
      <c r="H56" s="1" t="n">
        <v>14</v>
      </c>
      <c r="I56" s="1" t="n">
        <v>88</v>
      </c>
      <c r="J56" s="1" t="n">
        <v>1.76</v>
      </c>
      <c r="K56" s="1" t="n">
        <v>0</v>
      </c>
      <c r="L56" s="1" t="n">
        <v>4.3</v>
      </c>
      <c r="M56" s="1" t="n">
        <v>720852.5</v>
      </c>
      <c r="N56" s="1" t="n">
        <v>98565.62</v>
      </c>
    </row>
    <row r="57" customFormat="false" ht="15" hidden="false" customHeight="true" outlineLevel="0" collapsed="false">
      <c r="A57" s="1" t="s">
        <v>35</v>
      </c>
      <c r="B57" s="3" t="n">
        <v>45748</v>
      </c>
      <c r="C57" s="1" t="s">
        <v>27</v>
      </c>
      <c r="D57" s="1" t="s">
        <v>18</v>
      </c>
      <c r="E57" s="1" t="n">
        <v>27808.6</v>
      </c>
      <c r="F57" s="1" t="n">
        <v>2863</v>
      </c>
      <c r="G57" s="1" t="n">
        <v>0.08</v>
      </c>
      <c r="H57" s="1" t="n">
        <v>13</v>
      </c>
      <c r="I57" s="1" t="n">
        <v>89.3</v>
      </c>
      <c r="J57" s="1" t="n">
        <v>0.47</v>
      </c>
      <c r="K57" s="1" t="n">
        <v>0</v>
      </c>
      <c r="L57" s="1" t="n">
        <v>4.1</v>
      </c>
      <c r="M57" s="1" t="n">
        <v>487464.91</v>
      </c>
      <c r="N57" s="1" t="n">
        <v>64562.26</v>
      </c>
    </row>
    <row r="58" customFormat="false" ht="15" hidden="false" customHeight="true" outlineLevel="0" collapsed="false">
      <c r="A58" s="1" t="s">
        <v>36</v>
      </c>
      <c r="B58" s="3" t="n">
        <v>45658</v>
      </c>
      <c r="C58" s="1" t="s">
        <v>15</v>
      </c>
      <c r="D58" s="1" t="s">
        <v>21</v>
      </c>
      <c r="E58" s="1" t="n">
        <v>19365.06</v>
      </c>
      <c r="F58" s="1" t="n">
        <v>2378</v>
      </c>
      <c r="G58" s="1" t="n">
        <v>0</v>
      </c>
      <c r="H58" s="1" t="n">
        <v>12</v>
      </c>
      <c r="I58" s="1" t="n">
        <v>94.8</v>
      </c>
      <c r="J58" s="1" t="n">
        <v>0.2</v>
      </c>
      <c r="K58" s="1" t="n">
        <v>0</v>
      </c>
      <c r="L58" s="1" t="n">
        <v>3.5</v>
      </c>
      <c r="M58" s="1" t="n">
        <v>518049.26</v>
      </c>
      <c r="N58" s="1" t="n">
        <v>108592.49</v>
      </c>
    </row>
    <row r="59" customFormat="false" ht="15" hidden="false" customHeight="true" outlineLevel="0" collapsed="false">
      <c r="A59" s="1" t="s">
        <v>36</v>
      </c>
      <c r="B59" s="3" t="n">
        <v>45689</v>
      </c>
      <c r="C59" s="1" t="s">
        <v>15</v>
      </c>
      <c r="D59" s="1" t="s">
        <v>21</v>
      </c>
      <c r="E59" s="1" t="n">
        <v>59405.68</v>
      </c>
      <c r="F59" s="1" t="n">
        <v>2515</v>
      </c>
      <c r="G59" s="1" t="n">
        <v>0.039</v>
      </c>
      <c r="H59" s="1" t="n">
        <v>12</v>
      </c>
      <c r="I59" s="1" t="n">
        <v>76</v>
      </c>
      <c r="J59" s="1" t="n">
        <v>5.11</v>
      </c>
      <c r="K59" s="1" t="n">
        <v>0</v>
      </c>
      <c r="L59" s="1" t="n">
        <v>3.7</v>
      </c>
      <c r="M59" s="1" t="n">
        <v>500298.48</v>
      </c>
      <c r="N59" s="1" t="n">
        <v>73461.32</v>
      </c>
    </row>
    <row r="60" customFormat="false" ht="15" hidden="false" customHeight="true" outlineLevel="0" collapsed="false">
      <c r="A60" s="1" t="s">
        <v>36</v>
      </c>
      <c r="B60" s="3" t="n">
        <v>45717</v>
      </c>
      <c r="C60" s="1" t="s">
        <v>15</v>
      </c>
      <c r="D60" s="1" t="s">
        <v>21</v>
      </c>
      <c r="E60" s="1" t="n">
        <v>118910.48</v>
      </c>
      <c r="F60" s="1" t="n">
        <v>4022</v>
      </c>
      <c r="G60" s="1" t="n">
        <v>0.137</v>
      </c>
      <c r="H60" s="1" t="n">
        <v>11</v>
      </c>
      <c r="I60" s="1" t="n">
        <v>87.1</v>
      </c>
      <c r="J60" s="1" t="n">
        <v>0.2</v>
      </c>
      <c r="K60" s="1" t="n">
        <v>0</v>
      </c>
      <c r="L60" s="1" t="n">
        <v>3.1</v>
      </c>
      <c r="M60" s="1" t="n">
        <v>617291.15</v>
      </c>
      <c r="N60" s="1" t="n">
        <v>117782</v>
      </c>
    </row>
    <row r="61" customFormat="false" ht="15" hidden="false" customHeight="true" outlineLevel="0" collapsed="false">
      <c r="A61" s="1" t="s">
        <v>36</v>
      </c>
      <c r="B61" s="3" t="n">
        <v>45748</v>
      </c>
      <c r="C61" s="1" t="s">
        <v>15</v>
      </c>
      <c r="D61" s="1" t="s">
        <v>21</v>
      </c>
      <c r="E61" s="1" t="n">
        <v>52952.12</v>
      </c>
      <c r="F61" s="1" t="n">
        <v>4377</v>
      </c>
      <c r="G61" s="1" t="n">
        <v>0.092</v>
      </c>
      <c r="H61" s="1" t="n">
        <v>14</v>
      </c>
      <c r="I61" s="1" t="n">
        <v>88.6</v>
      </c>
      <c r="J61" s="1" t="n">
        <v>13.59</v>
      </c>
      <c r="K61" s="1" t="n">
        <v>0</v>
      </c>
      <c r="L61" s="1" t="n">
        <v>3.1</v>
      </c>
      <c r="M61" s="1" t="n">
        <v>553756.43</v>
      </c>
      <c r="N61" s="1" t="n">
        <v>86166.77</v>
      </c>
    </row>
    <row r="62" customFormat="false" ht="15" hidden="false" customHeight="true" outlineLevel="0" collapsed="false">
      <c r="A62" s="1" t="s">
        <v>37</v>
      </c>
      <c r="B62" s="3" t="n">
        <v>45658</v>
      </c>
      <c r="C62" s="1" t="s">
        <v>24</v>
      </c>
      <c r="D62" s="1" t="s">
        <v>18</v>
      </c>
      <c r="E62" s="1" t="n">
        <v>74907.98</v>
      </c>
      <c r="F62" s="1" t="n">
        <v>5306</v>
      </c>
      <c r="G62" s="1" t="n">
        <v>0.062</v>
      </c>
      <c r="H62" s="1" t="n">
        <v>16</v>
      </c>
      <c r="I62" s="1" t="n">
        <v>95.6</v>
      </c>
      <c r="J62" s="1" t="n">
        <v>1.02</v>
      </c>
      <c r="K62" s="1" t="n">
        <v>0</v>
      </c>
      <c r="L62" s="1" t="n">
        <v>3.7</v>
      </c>
      <c r="M62" s="1" t="n">
        <v>749559.71</v>
      </c>
      <c r="N62" s="1" t="n">
        <v>144522.53</v>
      </c>
    </row>
    <row r="63" customFormat="false" ht="15" hidden="false" customHeight="true" outlineLevel="0" collapsed="false">
      <c r="A63" s="1" t="s">
        <v>37</v>
      </c>
      <c r="B63" s="3" t="n">
        <v>45689</v>
      </c>
      <c r="C63" s="1" t="s">
        <v>24</v>
      </c>
      <c r="D63" s="1" t="s">
        <v>18</v>
      </c>
      <c r="E63" s="1" t="n">
        <v>37284.66</v>
      </c>
      <c r="F63" s="1" t="n">
        <v>3928</v>
      </c>
      <c r="G63" s="1" t="n">
        <v>0.074</v>
      </c>
      <c r="H63" s="1" t="n">
        <v>12</v>
      </c>
      <c r="I63" s="1" t="n">
        <v>86.5</v>
      </c>
      <c r="J63" s="1" t="n">
        <v>1.64</v>
      </c>
      <c r="K63" s="1" t="n">
        <v>0</v>
      </c>
      <c r="L63" s="1" t="n">
        <v>3.8</v>
      </c>
      <c r="M63" s="1" t="n">
        <v>615966.48</v>
      </c>
      <c r="N63" s="1" t="n">
        <v>91509.38</v>
      </c>
    </row>
    <row r="64" customFormat="false" ht="15" hidden="false" customHeight="true" outlineLevel="0" collapsed="false">
      <c r="A64" s="1" t="s">
        <v>37</v>
      </c>
      <c r="B64" s="3" t="n">
        <v>45717</v>
      </c>
      <c r="C64" s="1" t="s">
        <v>24</v>
      </c>
      <c r="D64" s="1" t="s">
        <v>18</v>
      </c>
      <c r="E64" s="1" t="n">
        <v>50343.19</v>
      </c>
      <c r="F64" s="1" t="n">
        <v>3845</v>
      </c>
      <c r="G64" s="1" t="n">
        <v>0.113</v>
      </c>
      <c r="H64" s="1" t="n">
        <v>9</v>
      </c>
      <c r="I64" s="1" t="n">
        <v>88.7</v>
      </c>
      <c r="J64" s="1" t="n">
        <v>5.15</v>
      </c>
      <c r="K64" s="1" t="n">
        <v>0</v>
      </c>
      <c r="L64" s="1" t="n">
        <v>3.3</v>
      </c>
      <c r="M64" s="1" t="n">
        <v>572011.2</v>
      </c>
      <c r="N64" s="1" t="n">
        <v>101409.68</v>
      </c>
    </row>
    <row r="65" customFormat="false" ht="15" hidden="false" customHeight="true" outlineLevel="0" collapsed="false">
      <c r="A65" s="1" t="s">
        <v>37</v>
      </c>
      <c r="B65" s="3" t="n">
        <v>45748</v>
      </c>
      <c r="C65" s="1" t="s">
        <v>24</v>
      </c>
      <c r="D65" s="1" t="s">
        <v>18</v>
      </c>
      <c r="E65" s="1" t="n">
        <v>74954.47</v>
      </c>
      <c r="F65" s="1" t="n">
        <v>6620</v>
      </c>
      <c r="G65" s="1" t="n">
        <v>0.054</v>
      </c>
      <c r="H65" s="1" t="n">
        <v>17</v>
      </c>
      <c r="I65" s="1" t="n">
        <v>91.1</v>
      </c>
      <c r="J65" s="1" t="n">
        <v>1.11</v>
      </c>
      <c r="K65" s="1" t="n">
        <v>0</v>
      </c>
      <c r="L65" s="1" t="n">
        <v>3.5</v>
      </c>
      <c r="M65" s="1" t="n">
        <v>761860.19</v>
      </c>
      <c r="N65" s="1" t="n">
        <v>133279.38</v>
      </c>
    </row>
    <row r="66" customFormat="false" ht="15" hidden="false" customHeight="true" outlineLevel="0" collapsed="false">
      <c r="A66" s="1" t="s">
        <v>38</v>
      </c>
      <c r="B66" s="3" t="n">
        <v>45658</v>
      </c>
      <c r="C66" s="1" t="s">
        <v>27</v>
      </c>
      <c r="D66" s="1" t="s">
        <v>18</v>
      </c>
      <c r="E66" s="1" t="n">
        <v>70040.31</v>
      </c>
      <c r="F66" s="1" t="n">
        <v>9175</v>
      </c>
      <c r="G66" s="1" t="n">
        <v>0.107</v>
      </c>
      <c r="H66" s="1" t="n">
        <v>23</v>
      </c>
      <c r="I66" s="1" t="n">
        <v>95.1</v>
      </c>
      <c r="J66" s="1" t="n">
        <v>6.08</v>
      </c>
      <c r="K66" s="1" t="n">
        <v>1</v>
      </c>
      <c r="L66" s="1" t="n">
        <v>3.4</v>
      </c>
      <c r="M66" s="1" t="n">
        <v>784502.68</v>
      </c>
      <c r="N66" s="1" t="n">
        <v>129519.72</v>
      </c>
    </row>
    <row r="67" customFormat="false" ht="15" hidden="false" customHeight="true" outlineLevel="0" collapsed="false">
      <c r="A67" s="1" t="s">
        <v>38</v>
      </c>
      <c r="B67" s="3" t="n">
        <v>45689</v>
      </c>
      <c r="C67" s="1" t="s">
        <v>27</v>
      </c>
      <c r="D67" s="1" t="s">
        <v>18</v>
      </c>
      <c r="E67" s="1" t="n">
        <v>51148.69</v>
      </c>
      <c r="F67" s="1" t="n">
        <v>7940</v>
      </c>
      <c r="G67" s="1" t="n">
        <v>0.156</v>
      </c>
      <c r="H67" s="1" t="n">
        <v>18</v>
      </c>
      <c r="I67" s="1" t="n">
        <v>93.3</v>
      </c>
      <c r="J67" s="1" t="n">
        <v>10.91</v>
      </c>
      <c r="K67" s="1" t="n">
        <v>0</v>
      </c>
      <c r="L67" s="1" t="n">
        <v>3.6</v>
      </c>
      <c r="M67" s="1" t="n">
        <v>717141.55</v>
      </c>
      <c r="N67" s="1" t="n">
        <v>134013.61</v>
      </c>
    </row>
    <row r="68" customFormat="false" ht="15" hidden="false" customHeight="true" outlineLevel="0" collapsed="false">
      <c r="A68" s="1" t="s">
        <v>38</v>
      </c>
      <c r="B68" s="3" t="n">
        <v>45717</v>
      </c>
      <c r="C68" s="1" t="s">
        <v>27</v>
      </c>
      <c r="D68" s="1" t="s">
        <v>18</v>
      </c>
      <c r="E68" s="1" t="n">
        <v>79346.1</v>
      </c>
      <c r="F68" s="1" t="n">
        <v>9628</v>
      </c>
      <c r="G68" s="1" t="n">
        <v>0.102</v>
      </c>
      <c r="H68" s="1" t="n">
        <v>20</v>
      </c>
      <c r="I68" s="1" t="n">
        <v>99</v>
      </c>
      <c r="J68" s="1" t="n">
        <v>19.01</v>
      </c>
      <c r="K68" s="1" t="n">
        <v>1</v>
      </c>
      <c r="L68" s="1" t="n">
        <v>3.2</v>
      </c>
      <c r="M68" s="1" t="n">
        <v>685379.08</v>
      </c>
      <c r="N68" s="1" t="n">
        <v>106898.82</v>
      </c>
    </row>
    <row r="69" customFormat="false" ht="15" hidden="false" customHeight="true" outlineLevel="0" collapsed="false">
      <c r="A69" s="1" t="s">
        <v>38</v>
      </c>
      <c r="B69" s="3" t="n">
        <v>45748</v>
      </c>
      <c r="C69" s="1" t="s">
        <v>27</v>
      </c>
      <c r="D69" s="1" t="s">
        <v>18</v>
      </c>
      <c r="E69" s="1" t="n">
        <v>42018.4</v>
      </c>
      <c r="F69" s="1" t="n">
        <v>8296</v>
      </c>
      <c r="G69" s="1" t="n">
        <v>0.115</v>
      </c>
      <c r="H69" s="1" t="n">
        <v>17</v>
      </c>
      <c r="I69" s="1" t="n">
        <v>91.8</v>
      </c>
      <c r="J69" s="1" t="n">
        <v>0.77</v>
      </c>
      <c r="K69" s="1" t="n">
        <v>0</v>
      </c>
      <c r="L69" s="1" t="n">
        <v>3.4</v>
      </c>
      <c r="M69" s="1" t="n">
        <v>740496.65</v>
      </c>
      <c r="N69" s="1" t="n">
        <v>128020.9</v>
      </c>
    </row>
    <row r="70" customFormat="false" ht="15" hidden="false" customHeight="true" outlineLevel="0" collapsed="false">
      <c r="A70" s="1" t="s">
        <v>39</v>
      </c>
      <c r="B70" s="3" t="n">
        <v>45658</v>
      </c>
      <c r="C70" s="1" t="s">
        <v>15</v>
      </c>
      <c r="D70" s="1" t="s">
        <v>18</v>
      </c>
      <c r="E70" s="1" t="n">
        <v>70937.24</v>
      </c>
      <c r="F70" s="1" t="n">
        <v>3595</v>
      </c>
      <c r="G70" s="1" t="n">
        <v>0.141</v>
      </c>
      <c r="H70" s="1" t="n">
        <v>11</v>
      </c>
      <c r="I70" s="1" t="n">
        <v>88.9</v>
      </c>
      <c r="J70" s="1" t="n">
        <v>2.83</v>
      </c>
      <c r="K70" s="1" t="n">
        <v>1</v>
      </c>
      <c r="L70" s="1" t="n">
        <v>3.3</v>
      </c>
      <c r="M70" s="1" t="n">
        <v>661927.14</v>
      </c>
      <c r="N70" s="1" t="n">
        <v>79218.57</v>
      </c>
    </row>
    <row r="71" customFormat="false" ht="15" hidden="false" customHeight="true" outlineLevel="0" collapsed="false">
      <c r="A71" s="1" t="s">
        <v>39</v>
      </c>
      <c r="B71" s="3" t="n">
        <v>45689</v>
      </c>
      <c r="C71" s="1" t="s">
        <v>15</v>
      </c>
      <c r="D71" s="1" t="s">
        <v>18</v>
      </c>
      <c r="E71" s="1" t="n">
        <v>36813.45</v>
      </c>
      <c r="F71" s="1" t="n">
        <v>2834</v>
      </c>
      <c r="G71" s="1" t="n">
        <v>0.191</v>
      </c>
      <c r="H71" s="1" t="n">
        <v>11</v>
      </c>
      <c r="I71" s="1" t="n">
        <v>81.8</v>
      </c>
      <c r="J71" s="1" t="n">
        <v>2.33</v>
      </c>
      <c r="K71" s="1" t="n">
        <v>0</v>
      </c>
      <c r="L71" s="1" t="n">
        <v>3.3</v>
      </c>
      <c r="M71" s="1" t="n">
        <v>479050.5</v>
      </c>
      <c r="N71" s="1" t="n">
        <v>53651.11</v>
      </c>
    </row>
    <row r="72" customFormat="false" ht="15" hidden="false" customHeight="true" outlineLevel="0" collapsed="false">
      <c r="A72" s="1" t="s">
        <v>39</v>
      </c>
      <c r="B72" s="3" t="n">
        <v>45717</v>
      </c>
      <c r="C72" s="1" t="s">
        <v>15</v>
      </c>
      <c r="D72" s="1" t="s">
        <v>18</v>
      </c>
      <c r="E72" s="1" t="n">
        <v>60571.82</v>
      </c>
      <c r="F72" s="1" t="n">
        <v>3193</v>
      </c>
      <c r="G72" s="1" t="n">
        <v>0.197</v>
      </c>
      <c r="H72" s="1" t="n">
        <v>7</v>
      </c>
      <c r="I72" s="1" t="n">
        <v>99</v>
      </c>
      <c r="J72" s="1" t="n">
        <v>1.43</v>
      </c>
      <c r="K72" s="1" t="n">
        <v>0</v>
      </c>
      <c r="L72" s="1" t="n">
        <v>3.2</v>
      </c>
      <c r="M72" s="1" t="n">
        <v>605023.87</v>
      </c>
      <c r="N72" s="1" t="n">
        <v>98545.81</v>
      </c>
    </row>
    <row r="73" customFormat="false" ht="15" hidden="false" customHeight="true" outlineLevel="0" collapsed="false">
      <c r="A73" s="1" t="s">
        <v>39</v>
      </c>
      <c r="B73" s="3" t="n">
        <v>45748</v>
      </c>
      <c r="C73" s="1" t="s">
        <v>15</v>
      </c>
      <c r="D73" s="1" t="s">
        <v>18</v>
      </c>
      <c r="E73" s="1" t="n">
        <v>55081.16</v>
      </c>
      <c r="F73" s="1" t="n">
        <v>5485</v>
      </c>
      <c r="G73" s="1" t="n">
        <v>0.036</v>
      </c>
      <c r="H73" s="1" t="n">
        <v>12</v>
      </c>
      <c r="I73" s="1" t="n">
        <v>88</v>
      </c>
      <c r="K73" s="1" t="n">
        <v>0</v>
      </c>
      <c r="L73" s="1" t="n">
        <v>3.5</v>
      </c>
      <c r="M73" s="1" t="n">
        <v>674774.09</v>
      </c>
      <c r="N73" s="1" t="n">
        <v>141917.59</v>
      </c>
    </row>
    <row r="74" customFormat="false" ht="15" hidden="false" customHeight="true" outlineLevel="0" collapsed="false">
      <c r="A74" s="1" t="s">
        <v>40</v>
      </c>
      <c r="B74" s="3" t="n">
        <v>45658</v>
      </c>
      <c r="C74" s="1" t="s">
        <v>15</v>
      </c>
      <c r="D74" s="1" t="s">
        <v>16</v>
      </c>
      <c r="E74" s="1" t="n">
        <v>46201.46</v>
      </c>
      <c r="F74" s="1" t="n">
        <v>5918</v>
      </c>
      <c r="G74" s="1" t="n">
        <v>0.277</v>
      </c>
      <c r="H74" s="1" t="n">
        <v>13</v>
      </c>
      <c r="I74" s="1" t="n">
        <v>78.8</v>
      </c>
      <c r="J74" s="1" t="n">
        <v>4.91</v>
      </c>
      <c r="K74" s="1" t="n">
        <v>0</v>
      </c>
      <c r="L74" s="1" t="n">
        <v>4.5</v>
      </c>
      <c r="M74" s="1" t="n">
        <v>616069.41</v>
      </c>
      <c r="N74" s="1" t="n">
        <v>54453.99</v>
      </c>
    </row>
    <row r="75" customFormat="false" ht="15" hidden="false" customHeight="true" outlineLevel="0" collapsed="false">
      <c r="A75" s="1" t="s">
        <v>40</v>
      </c>
      <c r="B75" s="3" t="n">
        <v>45689</v>
      </c>
      <c r="C75" s="1" t="s">
        <v>15</v>
      </c>
      <c r="D75" s="1" t="s">
        <v>16</v>
      </c>
      <c r="E75" s="1" t="n">
        <v>53762.92</v>
      </c>
      <c r="F75" s="1" t="n">
        <v>6821</v>
      </c>
      <c r="G75" s="1" t="n">
        <v>0.066</v>
      </c>
      <c r="H75" s="1" t="n">
        <v>19</v>
      </c>
      <c r="I75" s="1" t="n">
        <v>94.6</v>
      </c>
      <c r="J75" s="1" t="n">
        <v>7.03</v>
      </c>
      <c r="K75" s="1" t="n">
        <v>0</v>
      </c>
      <c r="L75" s="1" t="n">
        <v>4.4</v>
      </c>
      <c r="M75" s="1" t="n">
        <v>630829.94</v>
      </c>
      <c r="N75" s="1" t="n">
        <v>117090.02</v>
      </c>
    </row>
    <row r="76" customFormat="false" ht="15" hidden="false" customHeight="true" outlineLevel="0" collapsed="false">
      <c r="A76" s="1" t="s">
        <v>40</v>
      </c>
      <c r="B76" s="3" t="n">
        <v>45717</v>
      </c>
      <c r="C76" s="1" t="s">
        <v>15</v>
      </c>
      <c r="D76" s="1" t="s">
        <v>16</v>
      </c>
      <c r="E76" s="1" t="n">
        <v>70144.78</v>
      </c>
      <c r="F76" s="1" t="n">
        <v>6806</v>
      </c>
      <c r="G76" s="1" t="n">
        <v>0.178</v>
      </c>
      <c r="H76" s="1" t="n">
        <v>20</v>
      </c>
      <c r="I76" s="1" t="n">
        <v>93.1</v>
      </c>
      <c r="J76" s="1" t="n">
        <v>0.28</v>
      </c>
      <c r="K76" s="1" t="n">
        <v>1</v>
      </c>
      <c r="L76" s="1" t="n">
        <v>4.3</v>
      </c>
      <c r="M76" s="1" t="n">
        <v>788087.68</v>
      </c>
      <c r="N76" s="1" t="n">
        <v>116803.42</v>
      </c>
    </row>
    <row r="77" customFormat="false" ht="15" hidden="false" customHeight="true" outlineLevel="0" collapsed="false">
      <c r="A77" s="1" t="s">
        <v>40</v>
      </c>
      <c r="B77" s="3" t="n">
        <v>45748</v>
      </c>
      <c r="C77" s="1" t="s">
        <v>15</v>
      </c>
      <c r="D77" s="1" t="s">
        <v>16</v>
      </c>
      <c r="E77" s="1" t="n">
        <v>58749.63</v>
      </c>
      <c r="F77" s="1" t="n">
        <v>8252</v>
      </c>
      <c r="G77" s="1" t="n">
        <v>0.203</v>
      </c>
      <c r="H77" s="1" t="n">
        <v>20</v>
      </c>
      <c r="I77" s="1" t="n">
        <v>85.2</v>
      </c>
      <c r="J77" s="1" t="n">
        <v>3.61</v>
      </c>
      <c r="K77" s="1" t="n">
        <v>0</v>
      </c>
      <c r="L77" s="1" t="n">
        <v>4.5</v>
      </c>
      <c r="M77" s="1" t="n">
        <v>680840.36</v>
      </c>
      <c r="N77" s="1" t="n">
        <v>68007.68</v>
      </c>
    </row>
    <row r="78" customFormat="false" ht="15" hidden="false" customHeight="true" outlineLevel="0" collapsed="false">
      <c r="A78" s="1" t="s">
        <v>41</v>
      </c>
      <c r="B78" s="3" t="n">
        <v>45658</v>
      </c>
      <c r="C78" s="1" t="s">
        <v>24</v>
      </c>
      <c r="D78" s="1" t="s">
        <v>18</v>
      </c>
      <c r="E78" s="1" t="n">
        <v>56973.18</v>
      </c>
      <c r="F78" s="1" t="n">
        <v>6662</v>
      </c>
      <c r="G78" s="1" t="n">
        <v>0.1</v>
      </c>
      <c r="H78" s="1" t="n">
        <v>15</v>
      </c>
      <c r="I78" s="1" t="n">
        <v>77.7</v>
      </c>
      <c r="J78" s="1" t="n">
        <v>7.52</v>
      </c>
      <c r="K78" s="1" t="n">
        <v>1</v>
      </c>
      <c r="L78" s="1" t="n">
        <v>3.2</v>
      </c>
      <c r="M78" s="1" t="n">
        <v>643657.47</v>
      </c>
      <c r="N78" s="1" t="n">
        <v>87022.45</v>
      </c>
    </row>
    <row r="79" customFormat="false" ht="15" hidden="false" customHeight="true" outlineLevel="0" collapsed="false">
      <c r="A79" s="1" t="s">
        <v>41</v>
      </c>
      <c r="B79" s="3" t="n">
        <v>45689</v>
      </c>
      <c r="C79" s="1" t="s">
        <v>24</v>
      </c>
      <c r="D79" s="1" t="s">
        <v>18</v>
      </c>
      <c r="E79" s="1" t="n">
        <v>54872.82</v>
      </c>
      <c r="F79" s="1" t="n">
        <v>5962</v>
      </c>
      <c r="G79" s="1" t="n">
        <v>0.064</v>
      </c>
      <c r="H79" s="1" t="n">
        <v>12</v>
      </c>
      <c r="I79" s="1" t="n">
        <v>85.4</v>
      </c>
      <c r="J79" s="1" t="n">
        <v>2.58</v>
      </c>
      <c r="K79" s="1" t="n">
        <v>0</v>
      </c>
      <c r="L79" s="1" t="n">
        <v>2.9</v>
      </c>
      <c r="M79" s="1" t="n">
        <v>691112.6</v>
      </c>
      <c r="N79" s="1" t="n">
        <v>109212.83</v>
      </c>
    </row>
    <row r="80" customFormat="false" ht="15" hidden="false" customHeight="true" outlineLevel="0" collapsed="false">
      <c r="A80" s="1" t="s">
        <v>41</v>
      </c>
      <c r="B80" s="3" t="n">
        <v>45717</v>
      </c>
      <c r="C80" s="1" t="s">
        <v>24</v>
      </c>
      <c r="D80" s="1" t="s">
        <v>18</v>
      </c>
      <c r="E80" s="1" t="n">
        <v>80562.81</v>
      </c>
      <c r="F80" s="1" t="n">
        <v>7470</v>
      </c>
      <c r="G80" s="1" t="n">
        <v>0.172</v>
      </c>
      <c r="H80" s="1" t="n">
        <v>16</v>
      </c>
      <c r="I80" s="1" t="n">
        <v>83.5</v>
      </c>
      <c r="J80" s="1" t="n">
        <v>2.29</v>
      </c>
      <c r="K80" s="1" t="n">
        <v>0</v>
      </c>
      <c r="L80" s="1" t="n">
        <v>3.3</v>
      </c>
      <c r="M80" s="1" t="n">
        <v>776922.17</v>
      </c>
      <c r="N80" s="1" t="n">
        <v>150701.93</v>
      </c>
    </row>
    <row r="81" customFormat="false" ht="15" hidden="false" customHeight="true" outlineLevel="0" collapsed="false">
      <c r="A81" s="1" t="s">
        <v>41</v>
      </c>
      <c r="B81" s="3" t="n">
        <v>45748</v>
      </c>
      <c r="C81" s="1" t="s">
        <v>24</v>
      </c>
      <c r="D81" s="1" t="s">
        <v>18</v>
      </c>
      <c r="E81" s="1" t="n">
        <v>77999.9</v>
      </c>
      <c r="F81" s="1" t="n">
        <v>5974</v>
      </c>
      <c r="G81" s="1" t="n">
        <v>0.252</v>
      </c>
      <c r="H81" s="1" t="n">
        <v>14</v>
      </c>
      <c r="I81" s="1" t="n">
        <v>81.3</v>
      </c>
      <c r="J81" s="1" t="n">
        <v>2.39</v>
      </c>
      <c r="K81" s="1" t="n">
        <v>0</v>
      </c>
      <c r="L81" s="1" t="n">
        <v>3.2</v>
      </c>
      <c r="M81" s="1" t="n">
        <v>636561.34</v>
      </c>
      <c r="N81" s="1" t="n">
        <v>93861.06</v>
      </c>
    </row>
    <row r="82" customFormat="false" ht="15" hidden="false" customHeight="true" outlineLevel="0" collapsed="false">
      <c r="A82" s="1" t="s">
        <v>42</v>
      </c>
      <c r="B82" s="3" t="n">
        <v>45658</v>
      </c>
      <c r="C82" s="1" t="s">
        <v>27</v>
      </c>
      <c r="D82" s="1" t="s">
        <v>28</v>
      </c>
      <c r="E82" s="1" t="n">
        <v>60881.01</v>
      </c>
      <c r="F82" s="1" t="n">
        <v>5410</v>
      </c>
      <c r="G82" s="1" t="n">
        <v>0.179</v>
      </c>
      <c r="H82" s="1" t="n">
        <v>15</v>
      </c>
      <c r="I82" s="1" t="n">
        <v>83.9</v>
      </c>
      <c r="J82" s="1" t="n">
        <v>5.24</v>
      </c>
      <c r="K82" s="1" t="n">
        <v>0</v>
      </c>
      <c r="L82" s="1" t="n">
        <v>4.6</v>
      </c>
      <c r="M82" s="1" t="n">
        <v>621369.58</v>
      </c>
      <c r="N82" s="1" t="n">
        <v>85493.64</v>
      </c>
    </row>
    <row r="83" customFormat="false" ht="15" hidden="false" customHeight="true" outlineLevel="0" collapsed="false">
      <c r="A83" s="1" t="s">
        <v>42</v>
      </c>
      <c r="B83" s="3" t="n">
        <v>45689</v>
      </c>
      <c r="C83" s="1" t="s">
        <v>27</v>
      </c>
      <c r="D83" s="1" t="s">
        <v>28</v>
      </c>
      <c r="E83" s="1" t="n">
        <v>60628.38</v>
      </c>
      <c r="F83" s="1" t="n">
        <v>4451</v>
      </c>
      <c r="G83" s="1" t="n">
        <v>0.095</v>
      </c>
      <c r="H83" s="1" t="n">
        <v>10</v>
      </c>
      <c r="I83" s="1" t="n">
        <v>89.6</v>
      </c>
      <c r="J83" s="1" t="n">
        <v>3.17</v>
      </c>
      <c r="K83" s="1" t="n">
        <v>0</v>
      </c>
      <c r="L83" s="1" t="n">
        <v>4.6</v>
      </c>
      <c r="M83" s="1" t="n">
        <v>682208.01</v>
      </c>
      <c r="N83" s="1" t="n">
        <v>110318.84</v>
      </c>
    </row>
    <row r="84" customFormat="false" ht="15" hidden="false" customHeight="true" outlineLevel="0" collapsed="false">
      <c r="A84" s="1" t="s">
        <v>42</v>
      </c>
      <c r="B84" s="3" t="n">
        <v>45717</v>
      </c>
      <c r="C84" s="1" t="s">
        <v>27</v>
      </c>
      <c r="D84" s="1" t="s">
        <v>28</v>
      </c>
      <c r="E84" s="1" t="n">
        <v>72731.14</v>
      </c>
      <c r="F84" s="1" t="n">
        <v>4644</v>
      </c>
      <c r="G84" s="1" t="n">
        <v>0.084</v>
      </c>
      <c r="H84" s="1" t="n">
        <v>15</v>
      </c>
      <c r="I84" s="1" t="n">
        <v>87.1</v>
      </c>
      <c r="J84" s="1" t="n">
        <v>2.66</v>
      </c>
      <c r="K84" s="1" t="n">
        <v>0</v>
      </c>
      <c r="L84" s="1" t="n">
        <v>4.6</v>
      </c>
      <c r="M84" s="1" t="n">
        <v>727241.86</v>
      </c>
      <c r="N84" s="1" t="n">
        <v>155810.3</v>
      </c>
    </row>
    <row r="85" customFormat="false" ht="15" hidden="false" customHeight="true" outlineLevel="0" collapsed="false">
      <c r="A85" s="1" t="s">
        <v>42</v>
      </c>
      <c r="B85" s="3" t="n">
        <v>45748</v>
      </c>
      <c r="C85" s="1" t="s">
        <v>27</v>
      </c>
      <c r="D85" s="1" t="s">
        <v>28</v>
      </c>
      <c r="E85" s="1" t="n">
        <v>36475.71</v>
      </c>
      <c r="F85" s="1" t="n">
        <v>3559</v>
      </c>
      <c r="G85" s="1" t="n">
        <v>0.03</v>
      </c>
      <c r="H85" s="1" t="n">
        <v>8</v>
      </c>
      <c r="I85" s="1" t="n">
        <v>83.6</v>
      </c>
      <c r="J85" s="1" t="n">
        <v>1.41</v>
      </c>
      <c r="K85" s="1" t="n">
        <v>0</v>
      </c>
      <c r="L85" s="1" t="n">
        <v>4.2</v>
      </c>
      <c r="M85" s="1" t="n">
        <v>569100.78</v>
      </c>
      <c r="N85" s="1" t="n">
        <v>104808.78</v>
      </c>
    </row>
    <row r="86" customFormat="false" ht="15" hidden="false" customHeight="true" outlineLevel="0" collapsed="false">
      <c r="A86" s="1" t="s">
        <v>43</v>
      </c>
      <c r="B86" s="3" t="n">
        <v>45658</v>
      </c>
      <c r="C86" s="1" t="s">
        <v>27</v>
      </c>
      <c r="D86" s="1" t="s">
        <v>18</v>
      </c>
      <c r="E86" s="1" t="n">
        <v>55388.11</v>
      </c>
      <c r="F86" s="1" t="n">
        <v>3091</v>
      </c>
      <c r="G86" s="1" t="n">
        <v>0.108</v>
      </c>
      <c r="H86" s="1" t="n">
        <v>7</v>
      </c>
      <c r="I86" s="1" t="n">
        <v>85.4</v>
      </c>
      <c r="J86" s="1" t="n">
        <v>7.34</v>
      </c>
      <c r="K86" s="1" t="n">
        <v>0</v>
      </c>
      <c r="L86" s="1" t="n">
        <v>4.9</v>
      </c>
      <c r="M86" s="1" t="n">
        <v>574436.29</v>
      </c>
      <c r="N86" s="1" t="n">
        <v>80271.99</v>
      </c>
    </row>
    <row r="87" customFormat="false" ht="15" hidden="false" customHeight="true" outlineLevel="0" collapsed="false">
      <c r="A87" s="1" t="s">
        <v>43</v>
      </c>
      <c r="B87" s="3" t="n">
        <v>45689</v>
      </c>
      <c r="C87" s="1" t="s">
        <v>27</v>
      </c>
      <c r="D87" s="1" t="s">
        <v>18</v>
      </c>
      <c r="E87" s="1" t="n">
        <v>88443.77</v>
      </c>
      <c r="F87" s="1" t="n">
        <v>4004</v>
      </c>
      <c r="G87" s="1" t="n">
        <v>0.206</v>
      </c>
      <c r="H87" s="1" t="n">
        <v>11</v>
      </c>
      <c r="I87" s="1" t="n">
        <v>91.9</v>
      </c>
      <c r="J87" s="1" t="n">
        <v>5.95</v>
      </c>
      <c r="K87" s="1" t="n">
        <v>0</v>
      </c>
      <c r="M87" s="1" t="n">
        <v>611766.72</v>
      </c>
      <c r="N87" s="1" t="n">
        <v>88275.61</v>
      </c>
    </row>
    <row r="88" customFormat="false" ht="15" hidden="false" customHeight="true" outlineLevel="0" collapsed="false">
      <c r="A88" s="1" t="s">
        <v>43</v>
      </c>
      <c r="B88" s="3" t="n">
        <v>45717</v>
      </c>
      <c r="C88" s="1" t="s">
        <v>27</v>
      </c>
      <c r="D88" s="1" t="s">
        <v>18</v>
      </c>
      <c r="E88" s="1" t="n">
        <v>78231.91</v>
      </c>
      <c r="F88" s="1" t="n">
        <v>3788</v>
      </c>
      <c r="G88" s="1" t="n">
        <v>0.059</v>
      </c>
      <c r="H88" s="1" t="n">
        <v>11</v>
      </c>
      <c r="I88" s="1" t="n">
        <v>88.5</v>
      </c>
      <c r="J88" s="1" t="n">
        <v>15.51</v>
      </c>
      <c r="K88" s="1" t="n">
        <v>0</v>
      </c>
      <c r="L88" s="1" t="n">
        <v>4.3</v>
      </c>
      <c r="M88" s="1" t="n">
        <v>614596.32</v>
      </c>
      <c r="N88" s="1" t="n">
        <v>131199.41</v>
      </c>
    </row>
    <row r="89" customFormat="false" ht="15" hidden="false" customHeight="true" outlineLevel="0" collapsed="false">
      <c r="A89" s="1" t="s">
        <v>43</v>
      </c>
      <c r="B89" s="3" t="n">
        <v>45748</v>
      </c>
      <c r="C89" s="1" t="s">
        <v>27</v>
      </c>
      <c r="D89" s="1" t="s">
        <v>18</v>
      </c>
      <c r="E89" s="1" t="n">
        <v>18996.32</v>
      </c>
      <c r="F89" s="1" t="n">
        <v>1260</v>
      </c>
      <c r="G89" s="1" t="n">
        <v>0.145</v>
      </c>
      <c r="H89" s="1" t="n">
        <v>9</v>
      </c>
      <c r="I89" s="1" t="n">
        <v>86.4</v>
      </c>
      <c r="J89" s="1" t="n">
        <v>4.31</v>
      </c>
      <c r="K89" s="1" t="n">
        <v>0</v>
      </c>
      <c r="L89" s="1" t="n">
        <v>4.6</v>
      </c>
      <c r="M89" s="1" t="n">
        <v>450711.92</v>
      </c>
      <c r="N89" s="1" t="n">
        <v>90043.76</v>
      </c>
    </row>
    <row r="90" customFormat="false" ht="15" hidden="false" customHeight="true" outlineLevel="0" collapsed="false">
      <c r="A90" s="1" t="s">
        <v>44</v>
      </c>
      <c r="B90" s="3" t="n">
        <v>45658</v>
      </c>
      <c r="C90" s="1" t="s">
        <v>24</v>
      </c>
      <c r="D90" s="1" t="s">
        <v>28</v>
      </c>
      <c r="E90" s="1" t="n">
        <v>50517.94</v>
      </c>
      <c r="F90" s="1" t="n">
        <v>7024</v>
      </c>
      <c r="G90" s="1" t="n">
        <v>0.029</v>
      </c>
      <c r="H90" s="1" t="n">
        <v>18</v>
      </c>
      <c r="I90" s="1" t="n">
        <v>79.2</v>
      </c>
      <c r="J90" s="1" t="n">
        <v>6.61</v>
      </c>
      <c r="K90" s="1" t="n">
        <v>1</v>
      </c>
      <c r="L90" s="1" t="n">
        <v>4.1</v>
      </c>
      <c r="M90" s="1" t="n">
        <v>711213.46</v>
      </c>
      <c r="N90" s="1" t="n">
        <v>105863.26</v>
      </c>
    </row>
    <row r="91" customFormat="false" ht="15" hidden="false" customHeight="true" outlineLevel="0" collapsed="false">
      <c r="A91" s="1" t="s">
        <v>44</v>
      </c>
      <c r="B91" s="3" t="n">
        <v>45689</v>
      </c>
      <c r="C91" s="1" t="s">
        <v>24</v>
      </c>
      <c r="D91" s="1" t="s">
        <v>28</v>
      </c>
      <c r="E91" s="1" t="n">
        <v>141540.29</v>
      </c>
      <c r="F91" s="1" t="n">
        <v>5400</v>
      </c>
      <c r="G91" s="1" t="n">
        <v>0.013</v>
      </c>
      <c r="H91" s="1" t="n">
        <v>12</v>
      </c>
      <c r="I91" s="1" t="n">
        <v>87</v>
      </c>
      <c r="J91" s="1" t="n">
        <v>4.26</v>
      </c>
      <c r="K91" s="1" t="n">
        <v>0</v>
      </c>
      <c r="L91" s="1" t="n">
        <v>4.5</v>
      </c>
      <c r="M91" s="1" t="n">
        <v>627171.9</v>
      </c>
      <c r="N91" s="1" t="n">
        <v>105772.75</v>
      </c>
    </row>
    <row r="92" customFormat="false" ht="15" hidden="false" customHeight="true" outlineLevel="0" collapsed="false">
      <c r="A92" s="1" t="s">
        <v>44</v>
      </c>
      <c r="B92" s="3" t="n">
        <v>45717</v>
      </c>
      <c r="C92" s="1" t="s">
        <v>24</v>
      </c>
      <c r="D92" s="1" t="s">
        <v>28</v>
      </c>
      <c r="E92" s="1" t="n">
        <v>82116.19</v>
      </c>
      <c r="F92" s="1" t="n">
        <v>5988</v>
      </c>
      <c r="G92" s="1" t="n">
        <v>0.04</v>
      </c>
      <c r="H92" s="1" t="n">
        <v>17</v>
      </c>
      <c r="I92" s="1" t="n">
        <v>91.8</v>
      </c>
      <c r="J92" s="1" t="n">
        <v>5.75</v>
      </c>
      <c r="K92" s="1" t="n">
        <v>0</v>
      </c>
      <c r="L92" s="1" t="n">
        <v>4.7</v>
      </c>
      <c r="M92" s="1" t="n">
        <v>739852.58</v>
      </c>
      <c r="N92" s="1" t="n">
        <v>129386.43</v>
      </c>
    </row>
    <row r="93" customFormat="false" ht="15" hidden="false" customHeight="true" outlineLevel="0" collapsed="false">
      <c r="A93" s="1" t="s">
        <v>44</v>
      </c>
      <c r="B93" s="3" t="n">
        <v>45748</v>
      </c>
      <c r="C93" s="1" t="s">
        <v>24</v>
      </c>
      <c r="D93" s="1" t="s">
        <v>28</v>
      </c>
      <c r="E93" s="1" t="n">
        <v>31207.51</v>
      </c>
      <c r="F93" s="1" t="n">
        <v>3701</v>
      </c>
      <c r="G93" s="1" t="n">
        <v>0.043</v>
      </c>
      <c r="H93" s="1" t="n">
        <v>11</v>
      </c>
      <c r="I93" s="1" t="n">
        <v>84.7</v>
      </c>
      <c r="J93" s="1" t="n">
        <v>0.33</v>
      </c>
      <c r="K93" s="1" t="n">
        <v>0</v>
      </c>
      <c r="L93" s="1" t="n">
        <v>4.3</v>
      </c>
      <c r="M93" s="1" t="n">
        <v>586307.22</v>
      </c>
      <c r="N93" s="1" t="n">
        <v>73927.85</v>
      </c>
    </row>
    <row r="94" customFormat="false" ht="15" hidden="false" customHeight="true" outlineLevel="0" collapsed="false">
      <c r="A94" s="1" t="s">
        <v>45</v>
      </c>
      <c r="B94" s="3" t="n">
        <v>45658</v>
      </c>
      <c r="C94" s="1" t="s">
        <v>27</v>
      </c>
      <c r="D94" s="1" t="s">
        <v>16</v>
      </c>
      <c r="E94" s="1" t="n">
        <v>38966.59</v>
      </c>
      <c r="F94" s="1" t="n">
        <v>4509</v>
      </c>
      <c r="G94" s="1" t="n">
        <v>0.194</v>
      </c>
      <c r="H94" s="1" t="n">
        <v>14</v>
      </c>
      <c r="I94" s="1" t="n">
        <v>91.1</v>
      </c>
      <c r="J94" s="1" t="n">
        <v>2.92</v>
      </c>
      <c r="K94" s="1" t="n">
        <v>0</v>
      </c>
      <c r="L94" s="1" t="n">
        <v>4.6</v>
      </c>
      <c r="M94" s="1" t="n">
        <v>585937.48</v>
      </c>
      <c r="N94" s="1" t="n">
        <v>82624.2</v>
      </c>
    </row>
    <row r="95" customFormat="false" ht="15" hidden="false" customHeight="true" outlineLevel="0" collapsed="false">
      <c r="A95" s="1" t="s">
        <v>45</v>
      </c>
      <c r="B95" s="3" t="n">
        <v>45689</v>
      </c>
      <c r="C95" s="1" t="s">
        <v>27</v>
      </c>
      <c r="D95" s="1" t="s">
        <v>16</v>
      </c>
      <c r="E95" s="1" t="n">
        <v>67439.3</v>
      </c>
      <c r="F95" s="1" t="n">
        <v>6477</v>
      </c>
      <c r="G95" s="1" t="n">
        <v>0</v>
      </c>
      <c r="H95" s="1" t="n">
        <v>16</v>
      </c>
      <c r="I95" s="1" t="n">
        <v>90.9</v>
      </c>
      <c r="J95" s="1" t="n">
        <v>1.64</v>
      </c>
      <c r="K95" s="1" t="n">
        <v>0</v>
      </c>
      <c r="L95" s="1" t="n">
        <v>4.5</v>
      </c>
      <c r="M95" s="1" t="n">
        <v>753473.55</v>
      </c>
      <c r="N95" s="1" t="n">
        <v>151527.22</v>
      </c>
    </row>
    <row r="96" customFormat="false" ht="15" hidden="false" customHeight="true" outlineLevel="0" collapsed="false">
      <c r="A96" s="1" t="s">
        <v>45</v>
      </c>
      <c r="B96" s="3" t="n">
        <v>45717</v>
      </c>
      <c r="C96" s="1" t="s">
        <v>27</v>
      </c>
      <c r="D96" s="1" t="s">
        <v>16</v>
      </c>
      <c r="E96" s="1" t="n">
        <v>86421.88</v>
      </c>
      <c r="F96" s="1" t="n">
        <v>7970</v>
      </c>
      <c r="G96" s="1" t="n">
        <v>0.073</v>
      </c>
      <c r="H96" s="1" t="n">
        <v>17</v>
      </c>
      <c r="I96" s="1" t="n">
        <v>91.3</v>
      </c>
      <c r="J96" s="1" t="n">
        <v>0.8</v>
      </c>
      <c r="K96" s="1" t="n">
        <v>0</v>
      </c>
      <c r="L96" s="1" t="n">
        <v>5</v>
      </c>
      <c r="M96" s="1" t="n">
        <v>838250.32</v>
      </c>
      <c r="N96" s="1" t="n">
        <v>122939.34</v>
      </c>
    </row>
    <row r="97" customFormat="false" ht="15" hidden="false" customHeight="true" outlineLevel="0" collapsed="false">
      <c r="A97" s="1" t="s">
        <v>45</v>
      </c>
      <c r="B97" s="3" t="n">
        <v>45748</v>
      </c>
      <c r="C97" s="1" t="s">
        <v>27</v>
      </c>
      <c r="D97" s="1" t="s">
        <v>16</v>
      </c>
      <c r="E97" s="1" t="n">
        <v>9534.65</v>
      </c>
      <c r="F97" s="1" t="n">
        <v>6057</v>
      </c>
      <c r="G97" s="1" t="n">
        <v>0.074</v>
      </c>
      <c r="H97" s="1" t="n">
        <v>15</v>
      </c>
      <c r="I97" s="1" t="n">
        <v>94.1</v>
      </c>
      <c r="J97" s="1" t="n">
        <v>5.79</v>
      </c>
      <c r="K97" s="1" t="n">
        <v>0</v>
      </c>
      <c r="L97" s="1" t="n">
        <v>4.5</v>
      </c>
      <c r="M97" s="1" t="n">
        <v>607898.12</v>
      </c>
      <c r="N97" s="1" t="n">
        <v>135404.85</v>
      </c>
    </row>
    <row r="98" customFormat="false" ht="15" hidden="false" customHeight="true" outlineLevel="0" collapsed="false">
      <c r="A98" s="1" t="s">
        <v>46</v>
      </c>
      <c r="B98" s="3" t="n">
        <v>45658</v>
      </c>
      <c r="C98" s="1" t="s">
        <v>27</v>
      </c>
      <c r="D98" s="1" t="s">
        <v>28</v>
      </c>
      <c r="E98" s="1" t="n">
        <v>61132.07</v>
      </c>
      <c r="F98" s="1" t="n">
        <v>6394</v>
      </c>
      <c r="G98" s="1" t="n">
        <v>0.163</v>
      </c>
      <c r="H98" s="1" t="n">
        <v>19</v>
      </c>
      <c r="I98" s="1" t="n">
        <v>91</v>
      </c>
      <c r="J98" s="1" t="n">
        <v>19.6</v>
      </c>
      <c r="K98" s="1" t="n">
        <v>0</v>
      </c>
      <c r="L98" s="1" t="n">
        <v>4.4</v>
      </c>
      <c r="M98" s="1" t="n">
        <v>691113.62</v>
      </c>
      <c r="N98" s="1" t="n">
        <v>135145.44</v>
      </c>
    </row>
    <row r="99" customFormat="false" ht="15" hidden="false" customHeight="true" outlineLevel="0" collapsed="false">
      <c r="A99" s="1" t="s">
        <v>46</v>
      </c>
      <c r="B99" s="3" t="n">
        <v>45689</v>
      </c>
      <c r="C99" s="1" t="s">
        <v>27</v>
      </c>
      <c r="D99" s="1" t="s">
        <v>28</v>
      </c>
      <c r="E99" s="1" t="n">
        <v>78839.39</v>
      </c>
      <c r="F99" s="1" t="n">
        <v>5150</v>
      </c>
      <c r="G99" s="1" t="n">
        <v>0.171</v>
      </c>
      <c r="H99" s="1" t="n">
        <v>13</v>
      </c>
      <c r="I99" s="1" t="n">
        <v>85.8</v>
      </c>
      <c r="J99" s="1" t="n">
        <v>7.57</v>
      </c>
      <c r="K99" s="1" t="n">
        <v>0</v>
      </c>
      <c r="L99" s="1" t="n">
        <v>4.3</v>
      </c>
      <c r="M99" s="1" t="n">
        <v>735509.4</v>
      </c>
      <c r="N99" s="1" t="n">
        <v>83895.96</v>
      </c>
    </row>
    <row r="100" customFormat="false" ht="15" hidden="false" customHeight="true" outlineLevel="0" collapsed="false">
      <c r="A100" s="1" t="s">
        <v>46</v>
      </c>
      <c r="B100" s="3" t="n">
        <v>45717</v>
      </c>
      <c r="C100" s="1" t="s">
        <v>27</v>
      </c>
      <c r="D100" s="1" t="s">
        <v>28</v>
      </c>
      <c r="E100" s="1" t="n">
        <v>38752.8</v>
      </c>
      <c r="F100" s="1" t="n">
        <v>4712</v>
      </c>
      <c r="G100" s="1" t="n">
        <v>0.075</v>
      </c>
      <c r="H100" s="1" t="n">
        <v>15</v>
      </c>
      <c r="I100" s="1" t="n">
        <v>89.7</v>
      </c>
      <c r="K100" s="1" t="n">
        <v>0</v>
      </c>
      <c r="L100" s="1" t="n">
        <v>4.3</v>
      </c>
      <c r="M100" s="1" t="n">
        <v>605775.33</v>
      </c>
      <c r="N100" s="1" t="n">
        <v>107194.6</v>
      </c>
    </row>
    <row r="101" customFormat="false" ht="15" hidden="false" customHeight="true" outlineLevel="0" collapsed="false">
      <c r="A101" s="1" t="s">
        <v>46</v>
      </c>
      <c r="B101" s="3" t="n">
        <v>45748</v>
      </c>
      <c r="C101" s="1" t="s">
        <v>27</v>
      </c>
      <c r="D101" s="1" t="s">
        <v>28</v>
      </c>
      <c r="E101" s="1" t="n">
        <v>55101.1</v>
      </c>
      <c r="F101" s="1" t="n">
        <v>5281</v>
      </c>
      <c r="G101" s="1" t="n">
        <v>0.189</v>
      </c>
      <c r="H101" s="1" t="n">
        <v>11</v>
      </c>
      <c r="I101" s="1" t="n">
        <v>91</v>
      </c>
      <c r="J101" s="1" t="n">
        <v>2.7</v>
      </c>
      <c r="K101" s="1" t="n">
        <v>0</v>
      </c>
      <c r="L101" s="1" t="n">
        <v>4.4</v>
      </c>
      <c r="M101" s="1" t="n">
        <v>675177.68</v>
      </c>
      <c r="N101" s="1" t="n">
        <v>105628.68</v>
      </c>
    </row>
    <row r="102" customFormat="false" ht="15" hidden="false" customHeight="true" outlineLevel="0" collapsed="false">
      <c r="A102" s="1" t="s">
        <v>47</v>
      </c>
      <c r="B102" s="3" t="n">
        <v>45658</v>
      </c>
      <c r="C102" s="1" t="s">
        <v>15</v>
      </c>
      <c r="D102" s="1" t="s">
        <v>28</v>
      </c>
      <c r="E102" s="1" t="n">
        <v>53084.76</v>
      </c>
      <c r="F102" s="1" t="n">
        <v>3642</v>
      </c>
      <c r="G102" s="1" t="n">
        <v>0.15</v>
      </c>
      <c r="H102" s="1" t="n">
        <v>12</v>
      </c>
      <c r="I102" s="1" t="n">
        <v>91.4</v>
      </c>
      <c r="J102" s="1" t="n">
        <v>0.2</v>
      </c>
      <c r="K102" s="1" t="n">
        <v>0</v>
      </c>
      <c r="L102" s="1" t="n">
        <v>4.4</v>
      </c>
      <c r="M102" s="1" t="n">
        <v>635181.35</v>
      </c>
      <c r="N102" s="1" t="n">
        <v>83341.25</v>
      </c>
    </row>
    <row r="103" customFormat="false" ht="15" hidden="false" customHeight="true" outlineLevel="0" collapsed="false">
      <c r="A103" s="1" t="s">
        <v>47</v>
      </c>
      <c r="B103" s="3" t="n">
        <v>45689</v>
      </c>
      <c r="C103" s="1" t="s">
        <v>15</v>
      </c>
      <c r="D103" s="1" t="s">
        <v>28</v>
      </c>
      <c r="E103" s="1" t="n">
        <v>63101.59</v>
      </c>
      <c r="F103" s="1" t="n">
        <v>4373</v>
      </c>
      <c r="G103" s="1" t="n">
        <v>0.173</v>
      </c>
      <c r="H103" s="1" t="n">
        <v>14</v>
      </c>
      <c r="I103" s="1" t="n">
        <v>90.4</v>
      </c>
      <c r="J103" s="1" t="n">
        <v>7.87</v>
      </c>
      <c r="K103" s="1" t="n">
        <v>0</v>
      </c>
      <c r="L103" s="1" t="n">
        <v>4.7</v>
      </c>
      <c r="M103" s="1" t="n">
        <v>586626.94</v>
      </c>
      <c r="N103" s="1" t="n">
        <v>86498.55</v>
      </c>
    </row>
    <row r="104" customFormat="false" ht="15" hidden="false" customHeight="true" outlineLevel="0" collapsed="false">
      <c r="A104" s="1" t="s">
        <v>47</v>
      </c>
      <c r="B104" s="3" t="n">
        <v>45717</v>
      </c>
      <c r="C104" s="1" t="s">
        <v>15</v>
      </c>
      <c r="D104" s="1" t="s">
        <v>28</v>
      </c>
      <c r="E104" s="1" t="n">
        <v>90084.4</v>
      </c>
      <c r="F104" s="1" t="n">
        <v>6832</v>
      </c>
      <c r="G104" s="1" t="n">
        <v>0.185</v>
      </c>
      <c r="H104" s="1" t="n">
        <v>14</v>
      </c>
      <c r="I104" s="1" t="n">
        <v>80.5</v>
      </c>
      <c r="J104" s="1" t="n">
        <v>0.77</v>
      </c>
      <c r="K104" s="1" t="n">
        <v>1</v>
      </c>
      <c r="L104" s="1" t="n">
        <v>4.4</v>
      </c>
      <c r="M104" s="1" t="n">
        <v>740102.64</v>
      </c>
      <c r="N104" s="1" t="n">
        <v>114299.07</v>
      </c>
    </row>
    <row r="105" customFormat="false" ht="15" hidden="false" customHeight="true" outlineLevel="0" collapsed="false">
      <c r="A105" s="1" t="s">
        <v>47</v>
      </c>
      <c r="B105" s="3" t="n">
        <v>45748</v>
      </c>
      <c r="C105" s="1" t="s">
        <v>15</v>
      </c>
      <c r="D105" s="1" t="s">
        <v>28</v>
      </c>
      <c r="E105" s="1" t="n">
        <v>32266.64</v>
      </c>
      <c r="F105" s="1" t="n">
        <v>2414</v>
      </c>
      <c r="G105" s="1" t="n">
        <v>0.08</v>
      </c>
      <c r="H105" s="1" t="n">
        <v>7</v>
      </c>
      <c r="I105" s="1" t="n">
        <v>92.1</v>
      </c>
      <c r="J105" s="1" t="n">
        <v>1.48</v>
      </c>
      <c r="K105" s="1" t="n">
        <v>0</v>
      </c>
      <c r="L105" s="1" t="n">
        <v>5</v>
      </c>
      <c r="M105" s="1" t="n">
        <v>625514.04</v>
      </c>
      <c r="N105" s="1" t="n">
        <v>120685.08</v>
      </c>
    </row>
    <row r="106" customFormat="false" ht="15" hidden="false" customHeight="true" outlineLevel="0" collapsed="false">
      <c r="A106" s="1" t="s">
        <v>48</v>
      </c>
      <c r="B106" s="3" t="n">
        <v>45658</v>
      </c>
      <c r="C106" s="1" t="s">
        <v>27</v>
      </c>
      <c r="D106" s="1" t="s">
        <v>18</v>
      </c>
      <c r="E106" s="1" t="n">
        <v>57919.07</v>
      </c>
      <c r="F106" s="1" t="n">
        <v>7374</v>
      </c>
      <c r="G106" s="1" t="n">
        <v>0.103</v>
      </c>
      <c r="H106" s="1" t="n">
        <v>21</v>
      </c>
      <c r="I106" s="1" t="n">
        <v>82.3</v>
      </c>
      <c r="J106" s="1" t="n">
        <v>2.87</v>
      </c>
      <c r="K106" s="1" t="n">
        <v>0</v>
      </c>
      <c r="L106" s="1" t="n">
        <v>2.9</v>
      </c>
      <c r="M106" s="1" t="n">
        <v>727227.2</v>
      </c>
      <c r="N106" s="1" t="n">
        <v>121292.01</v>
      </c>
    </row>
    <row r="107" customFormat="false" ht="15" hidden="false" customHeight="true" outlineLevel="0" collapsed="false">
      <c r="A107" s="1" t="s">
        <v>48</v>
      </c>
      <c r="B107" s="3" t="n">
        <v>45689</v>
      </c>
      <c r="C107" s="1" t="s">
        <v>27</v>
      </c>
      <c r="D107" s="1" t="s">
        <v>18</v>
      </c>
      <c r="E107" s="1" t="n">
        <v>74679.35</v>
      </c>
      <c r="F107" s="1" t="n">
        <v>8739</v>
      </c>
      <c r="G107" s="1" t="n">
        <v>0.056</v>
      </c>
      <c r="H107" s="1" t="n">
        <v>21</v>
      </c>
      <c r="I107" s="1" t="n">
        <v>91.8</v>
      </c>
      <c r="J107" s="1" t="n">
        <v>2.83</v>
      </c>
      <c r="K107" s="1" t="n">
        <v>0</v>
      </c>
      <c r="L107" s="1" t="n">
        <v>3</v>
      </c>
      <c r="M107" s="1" t="n">
        <v>783797.89</v>
      </c>
      <c r="N107" s="1" t="n">
        <v>157620.7</v>
      </c>
    </row>
    <row r="108" customFormat="false" ht="15" hidden="false" customHeight="true" outlineLevel="0" collapsed="false">
      <c r="A108" s="1" t="s">
        <v>48</v>
      </c>
      <c r="B108" s="3" t="n">
        <v>45717</v>
      </c>
      <c r="C108" s="1" t="s">
        <v>27</v>
      </c>
      <c r="D108" s="1" t="s">
        <v>18</v>
      </c>
      <c r="E108" s="1" t="n">
        <v>64294.23</v>
      </c>
      <c r="F108" s="1" t="n">
        <v>6992</v>
      </c>
      <c r="G108" s="1" t="n">
        <v>0.133</v>
      </c>
      <c r="H108" s="1" t="n">
        <v>14</v>
      </c>
      <c r="I108" s="1" t="n">
        <v>94.1</v>
      </c>
      <c r="J108" s="1" t="n">
        <v>0.25</v>
      </c>
      <c r="K108" s="1" t="n">
        <v>0</v>
      </c>
      <c r="L108" s="1" t="n">
        <v>3</v>
      </c>
      <c r="M108" s="1" t="n">
        <v>795153.84</v>
      </c>
      <c r="N108" s="1" t="n">
        <v>143194.21</v>
      </c>
    </row>
    <row r="109" customFormat="false" ht="15" hidden="false" customHeight="true" outlineLevel="0" collapsed="false">
      <c r="A109" s="1" t="s">
        <v>48</v>
      </c>
      <c r="B109" s="3" t="n">
        <v>45748</v>
      </c>
      <c r="C109" s="1" t="s">
        <v>27</v>
      </c>
      <c r="D109" s="1" t="s">
        <v>18</v>
      </c>
      <c r="E109" s="1" t="n">
        <v>31042.03</v>
      </c>
      <c r="F109" s="1" t="n">
        <v>7107</v>
      </c>
      <c r="G109" s="1" t="n">
        <v>0.051</v>
      </c>
      <c r="H109" s="1" t="n">
        <v>15</v>
      </c>
      <c r="I109" s="1" t="n">
        <v>87</v>
      </c>
      <c r="J109" s="1" t="n">
        <v>13.33</v>
      </c>
      <c r="K109" s="1" t="n">
        <v>0</v>
      </c>
      <c r="L109" s="1" t="n">
        <v>3.2</v>
      </c>
      <c r="M109" s="1" t="n">
        <v>665594.94</v>
      </c>
      <c r="N109" s="1" t="n">
        <v>127597.34</v>
      </c>
    </row>
    <row r="110" customFormat="false" ht="15" hidden="false" customHeight="true" outlineLevel="0" collapsed="false">
      <c r="A110" s="1" t="s">
        <v>49</v>
      </c>
      <c r="B110" s="3" t="n">
        <v>45658</v>
      </c>
      <c r="C110" s="1" t="s">
        <v>15</v>
      </c>
      <c r="D110" s="1" t="s">
        <v>28</v>
      </c>
      <c r="E110" s="1" t="n">
        <v>75265.02</v>
      </c>
      <c r="F110" s="1" t="n">
        <v>6975</v>
      </c>
      <c r="G110" s="1" t="n">
        <v>0.157</v>
      </c>
      <c r="H110" s="1" t="n">
        <v>20</v>
      </c>
      <c r="I110" s="1" t="n">
        <v>73.8</v>
      </c>
      <c r="J110" s="1" t="n">
        <v>6.35</v>
      </c>
      <c r="K110" s="1" t="n">
        <v>1</v>
      </c>
      <c r="L110" s="1" t="n">
        <v>3.8</v>
      </c>
      <c r="M110" s="1" t="n">
        <v>709478.39</v>
      </c>
      <c r="N110" s="1" t="n">
        <v>71294.27</v>
      </c>
    </row>
    <row r="111" customFormat="false" ht="15" hidden="false" customHeight="true" outlineLevel="0" collapsed="false">
      <c r="A111" s="1" t="s">
        <v>49</v>
      </c>
      <c r="B111" s="3" t="n">
        <v>45689</v>
      </c>
      <c r="C111" s="1" t="s">
        <v>15</v>
      </c>
      <c r="D111" s="1" t="s">
        <v>28</v>
      </c>
      <c r="E111" s="1" t="n">
        <v>69411.7</v>
      </c>
      <c r="F111" s="1" t="n">
        <v>5493</v>
      </c>
      <c r="G111" s="1" t="n">
        <v>0.292</v>
      </c>
      <c r="H111" s="1" t="n">
        <v>13</v>
      </c>
      <c r="I111" s="1" t="n">
        <v>86.5</v>
      </c>
      <c r="J111" s="1" t="n">
        <v>6.69</v>
      </c>
      <c r="K111" s="1" t="n">
        <v>0</v>
      </c>
      <c r="L111" s="1" t="n">
        <v>3.8</v>
      </c>
      <c r="M111" s="1" t="n">
        <v>664162.49</v>
      </c>
      <c r="N111" s="1" t="n">
        <v>98291.06</v>
      </c>
    </row>
    <row r="112" customFormat="false" ht="15" hidden="false" customHeight="true" outlineLevel="0" collapsed="false">
      <c r="A112" s="1" t="s">
        <v>49</v>
      </c>
      <c r="B112" s="3" t="n">
        <v>45717</v>
      </c>
      <c r="C112" s="1" t="s">
        <v>15</v>
      </c>
      <c r="D112" s="1" t="s">
        <v>28</v>
      </c>
      <c r="E112" s="1" t="n">
        <v>51056.15</v>
      </c>
      <c r="F112" s="1" t="n">
        <v>5686</v>
      </c>
      <c r="G112" s="1" t="n">
        <v>0.089</v>
      </c>
      <c r="H112" s="1" t="n">
        <v>13</v>
      </c>
      <c r="I112" s="1" t="n">
        <v>89.9</v>
      </c>
      <c r="J112" s="1" t="n">
        <v>1.28</v>
      </c>
      <c r="K112" s="1" t="n">
        <v>0</v>
      </c>
      <c r="L112" s="1" t="n">
        <v>4.2</v>
      </c>
      <c r="M112" s="1" t="n">
        <v>633494.21</v>
      </c>
      <c r="N112" s="1" t="n">
        <v>105739.47</v>
      </c>
    </row>
    <row r="113" customFormat="false" ht="15" hidden="false" customHeight="true" outlineLevel="0" collapsed="false">
      <c r="A113" s="1" t="s">
        <v>49</v>
      </c>
      <c r="B113" s="3" t="n">
        <v>45748</v>
      </c>
      <c r="C113" s="1" t="s">
        <v>15</v>
      </c>
      <c r="D113" s="1" t="s">
        <v>28</v>
      </c>
      <c r="E113" s="1" t="n">
        <v>52758.01</v>
      </c>
      <c r="F113" s="1" t="n">
        <v>4063</v>
      </c>
      <c r="G113" s="1" t="n">
        <v>0.057</v>
      </c>
      <c r="H113" s="1" t="n">
        <v>12</v>
      </c>
      <c r="I113" s="1" t="n">
        <v>91.7</v>
      </c>
      <c r="J113" s="1" t="n">
        <v>0.92</v>
      </c>
      <c r="K113" s="1" t="n">
        <v>0</v>
      </c>
      <c r="L113" s="1" t="n">
        <v>3.5</v>
      </c>
      <c r="M113" s="1" t="n">
        <v>713611.16</v>
      </c>
      <c r="N113" s="1" t="n">
        <v>129717.18</v>
      </c>
    </row>
    <row r="114" customFormat="false" ht="15" hidden="false" customHeight="true" outlineLevel="0" collapsed="false">
      <c r="A114" s="1" t="s">
        <v>50</v>
      </c>
      <c r="B114" s="3" t="n">
        <v>45658</v>
      </c>
      <c r="C114" s="1" t="s">
        <v>27</v>
      </c>
      <c r="D114" s="1" t="s">
        <v>28</v>
      </c>
      <c r="E114" s="1" t="n">
        <v>61426.04</v>
      </c>
      <c r="F114" s="1" t="n">
        <v>8966</v>
      </c>
      <c r="G114" s="1" t="n">
        <v>0.173</v>
      </c>
      <c r="H114" s="1" t="n">
        <v>22</v>
      </c>
      <c r="I114" s="1" t="n">
        <v>76.4</v>
      </c>
      <c r="J114" s="1" t="n">
        <v>1.05</v>
      </c>
      <c r="K114" s="1" t="n">
        <v>0</v>
      </c>
      <c r="L114" s="1" t="n">
        <v>3.1</v>
      </c>
      <c r="M114" s="1" t="n">
        <v>778397.97</v>
      </c>
      <c r="N114" s="1" t="n">
        <v>120044.41</v>
      </c>
    </row>
    <row r="115" customFormat="false" ht="15" hidden="false" customHeight="true" outlineLevel="0" collapsed="false">
      <c r="A115" s="1" t="s">
        <v>50</v>
      </c>
      <c r="B115" s="3" t="n">
        <v>45689</v>
      </c>
      <c r="C115" s="1" t="s">
        <v>27</v>
      </c>
      <c r="D115" s="1" t="s">
        <v>28</v>
      </c>
      <c r="E115" s="1" t="n">
        <v>80176.34</v>
      </c>
      <c r="F115" s="1" t="n">
        <v>9489</v>
      </c>
      <c r="G115" s="1" t="n">
        <v>0.142</v>
      </c>
      <c r="H115" s="1" t="n">
        <v>22</v>
      </c>
      <c r="I115" s="1" t="n">
        <v>94.3</v>
      </c>
      <c r="J115" s="1" t="n">
        <v>2.67</v>
      </c>
      <c r="K115" s="1" t="n">
        <v>0</v>
      </c>
      <c r="L115" s="1" t="n">
        <v>3.5</v>
      </c>
      <c r="M115" s="1" t="n">
        <v>873380.02</v>
      </c>
      <c r="N115" s="1" t="n">
        <v>149734.76</v>
      </c>
    </row>
    <row r="116" customFormat="false" ht="15" hidden="false" customHeight="true" outlineLevel="0" collapsed="false">
      <c r="A116" s="1" t="s">
        <v>50</v>
      </c>
      <c r="B116" s="3" t="n">
        <v>45717</v>
      </c>
      <c r="C116" s="1" t="s">
        <v>27</v>
      </c>
      <c r="D116" s="1" t="s">
        <v>28</v>
      </c>
      <c r="E116" s="1" t="n">
        <v>33605.18</v>
      </c>
      <c r="F116" s="1" t="n">
        <v>9225</v>
      </c>
      <c r="G116" s="1" t="n">
        <v>0.159</v>
      </c>
      <c r="H116" s="1" t="n">
        <v>23</v>
      </c>
      <c r="I116" s="1" t="n">
        <v>88.4</v>
      </c>
      <c r="J116" s="1" t="n">
        <v>5.91</v>
      </c>
      <c r="K116" s="1" t="n">
        <v>0</v>
      </c>
      <c r="L116" s="1" t="n">
        <v>2.8</v>
      </c>
      <c r="M116" s="1" t="n">
        <v>697287.9</v>
      </c>
      <c r="N116" s="1" t="n">
        <v>128208.33</v>
      </c>
    </row>
    <row r="117" customFormat="false" ht="15" hidden="false" customHeight="true" outlineLevel="0" collapsed="false">
      <c r="A117" s="1" t="s">
        <v>50</v>
      </c>
      <c r="B117" s="3" t="n">
        <v>45748</v>
      </c>
      <c r="C117" s="1" t="s">
        <v>27</v>
      </c>
      <c r="D117" s="1" t="s">
        <v>28</v>
      </c>
      <c r="E117" s="1" t="n">
        <v>25990.54</v>
      </c>
      <c r="F117" s="1" t="n">
        <v>9249</v>
      </c>
      <c r="G117" s="1" t="n">
        <v>0.139</v>
      </c>
      <c r="H117" s="1" t="n">
        <v>23</v>
      </c>
      <c r="I117" s="1" t="n">
        <v>92.5</v>
      </c>
      <c r="J117" s="1" t="n">
        <v>6.37</v>
      </c>
      <c r="K117" s="1" t="n">
        <v>0</v>
      </c>
      <c r="L117" s="1" t="n">
        <v>3.3</v>
      </c>
      <c r="M117" s="1" t="n">
        <v>718074.79</v>
      </c>
      <c r="N117" s="1" t="n">
        <v>115819.87</v>
      </c>
    </row>
    <row r="118" customFormat="false" ht="15" hidden="false" customHeight="true" outlineLevel="0" collapsed="false">
      <c r="A118" s="1" t="s">
        <v>51</v>
      </c>
      <c r="B118" s="3" t="n">
        <v>45658</v>
      </c>
      <c r="C118" s="1" t="s">
        <v>27</v>
      </c>
      <c r="D118" s="1" t="s">
        <v>16</v>
      </c>
      <c r="E118" s="1" t="n">
        <v>43685.14</v>
      </c>
      <c r="F118" s="1" t="n">
        <v>7821</v>
      </c>
      <c r="G118" s="1" t="n">
        <v>0.19</v>
      </c>
      <c r="H118" s="1" t="n">
        <v>17</v>
      </c>
      <c r="I118" s="1" t="n">
        <v>91</v>
      </c>
      <c r="J118" s="1" t="n">
        <v>2.49</v>
      </c>
      <c r="K118" s="1" t="n">
        <v>1</v>
      </c>
      <c r="L118" s="1" t="n">
        <v>4.7</v>
      </c>
      <c r="M118" s="1" t="n">
        <v>714942.43</v>
      </c>
      <c r="N118" s="1" t="n">
        <v>94697.71</v>
      </c>
    </row>
    <row r="119" customFormat="false" ht="15" hidden="false" customHeight="true" outlineLevel="0" collapsed="false">
      <c r="A119" s="1" t="s">
        <v>51</v>
      </c>
      <c r="B119" s="3" t="n">
        <v>45689</v>
      </c>
      <c r="C119" s="1" t="s">
        <v>27</v>
      </c>
      <c r="D119" s="1" t="s">
        <v>16</v>
      </c>
      <c r="E119" s="1" t="n">
        <v>57360.01</v>
      </c>
      <c r="F119" s="1" t="n">
        <v>8434</v>
      </c>
      <c r="G119" s="1" t="n">
        <v>0.151</v>
      </c>
      <c r="H119" s="1" t="n">
        <v>19</v>
      </c>
      <c r="I119" s="1" t="n">
        <v>84.1</v>
      </c>
      <c r="J119" s="1" t="n">
        <v>1.56</v>
      </c>
      <c r="K119" s="1" t="n">
        <v>0</v>
      </c>
      <c r="L119" s="1" t="n">
        <v>4.7</v>
      </c>
      <c r="M119" s="1" t="n">
        <v>820519.04</v>
      </c>
      <c r="N119" s="1" t="n">
        <v>99035.88</v>
      </c>
    </row>
    <row r="120" customFormat="false" ht="15" hidden="false" customHeight="true" outlineLevel="0" collapsed="false">
      <c r="A120" s="1" t="s">
        <v>51</v>
      </c>
      <c r="B120" s="3" t="n">
        <v>45717</v>
      </c>
      <c r="C120" s="1" t="s">
        <v>27</v>
      </c>
      <c r="D120" s="1" t="s">
        <v>16</v>
      </c>
      <c r="E120" s="1" t="n">
        <v>42415.47</v>
      </c>
      <c r="F120" s="1" t="n">
        <v>8512</v>
      </c>
      <c r="G120" s="1" t="n">
        <v>0.133</v>
      </c>
      <c r="H120" s="1" t="n">
        <v>18</v>
      </c>
      <c r="I120" s="1" t="n">
        <v>96.8</v>
      </c>
      <c r="J120" s="1" t="n">
        <v>14.95</v>
      </c>
      <c r="K120" s="1" t="n">
        <v>0</v>
      </c>
      <c r="L120" s="1" t="n">
        <v>4.6</v>
      </c>
      <c r="M120" s="1" t="n">
        <v>684217.32</v>
      </c>
      <c r="N120" s="1" t="n">
        <v>136217.19</v>
      </c>
    </row>
    <row r="121" customFormat="false" ht="15" hidden="false" customHeight="true" outlineLevel="0" collapsed="false">
      <c r="A121" s="1" t="s">
        <v>51</v>
      </c>
      <c r="B121" s="3" t="n">
        <v>45748</v>
      </c>
      <c r="C121" s="1" t="s">
        <v>27</v>
      </c>
      <c r="D121" s="1" t="s">
        <v>16</v>
      </c>
      <c r="E121" s="1" t="n">
        <v>54968.98</v>
      </c>
      <c r="F121" s="1" t="n">
        <v>7816</v>
      </c>
      <c r="G121" s="1" t="n">
        <v>0.232</v>
      </c>
      <c r="H121" s="1" t="n">
        <v>19</v>
      </c>
      <c r="I121" s="1" t="n">
        <v>95.7</v>
      </c>
      <c r="J121" s="1" t="n">
        <v>7.85</v>
      </c>
      <c r="K121" s="1" t="n">
        <v>0</v>
      </c>
      <c r="L121" s="1" t="n">
        <v>4.7</v>
      </c>
      <c r="M121" s="1" t="n">
        <v>735480.19</v>
      </c>
      <c r="N121" s="1" t="n">
        <v>88342.11</v>
      </c>
    </row>
    <row r="122" customFormat="false" ht="15" hidden="false" customHeight="true" outlineLevel="0" collapsed="false">
      <c r="A122" s="1" t="s">
        <v>52</v>
      </c>
      <c r="B122" s="3" t="n">
        <v>45658</v>
      </c>
      <c r="C122" s="1" t="s">
        <v>20</v>
      </c>
      <c r="D122" s="1" t="s">
        <v>18</v>
      </c>
      <c r="E122" s="1" t="n">
        <v>43896.13</v>
      </c>
      <c r="F122" s="1" t="n">
        <v>3853</v>
      </c>
      <c r="G122" s="1" t="n">
        <v>0.088</v>
      </c>
      <c r="H122" s="1" t="n">
        <v>13</v>
      </c>
      <c r="I122" s="1" t="n">
        <v>83</v>
      </c>
      <c r="J122" s="1" t="n">
        <v>6.8</v>
      </c>
      <c r="K122" s="1" t="n">
        <v>0</v>
      </c>
      <c r="L122" s="1" t="n">
        <v>4.4</v>
      </c>
      <c r="M122" s="1" t="n">
        <v>509484.81</v>
      </c>
      <c r="N122" s="1" t="n">
        <v>85742.36</v>
      </c>
    </row>
    <row r="123" customFormat="false" ht="15" hidden="false" customHeight="true" outlineLevel="0" collapsed="false">
      <c r="A123" s="1" t="s">
        <v>52</v>
      </c>
      <c r="B123" s="3" t="n">
        <v>45689</v>
      </c>
      <c r="C123" s="1" t="s">
        <v>20</v>
      </c>
      <c r="D123" s="1" t="s">
        <v>18</v>
      </c>
      <c r="E123" s="1" t="n">
        <v>83044.17</v>
      </c>
      <c r="F123" s="1" t="n">
        <v>3694</v>
      </c>
      <c r="G123" s="1" t="n">
        <v>0</v>
      </c>
      <c r="H123" s="1" t="n">
        <v>14</v>
      </c>
      <c r="I123" s="1" t="n">
        <v>89.4</v>
      </c>
      <c r="J123" s="1" t="n">
        <v>2.2</v>
      </c>
      <c r="K123" s="1" t="n">
        <v>0</v>
      </c>
      <c r="L123" s="1" t="n">
        <v>3.7</v>
      </c>
      <c r="M123" s="1" t="n">
        <v>654317.09</v>
      </c>
      <c r="N123" s="1" t="n">
        <v>121446.89</v>
      </c>
    </row>
    <row r="124" customFormat="false" ht="15" hidden="false" customHeight="true" outlineLevel="0" collapsed="false">
      <c r="A124" s="1" t="s">
        <v>52</v>
      </c>
      <c r="B124" s="3" t="n">
        <v>45717</v>
      </c>
      <c r="C124" s="1" t="s">
        <v>20</v>
      </c>
      <c r="D124" s="1" t="s">
        <v>18</v>
      </c>
      <c r="E124" s="1" t="n">
        <v>48396.13</v>
      </c>
      <c r="F124" s="1" t="n">
        <v>4423</v>
      </c>
      <c r="G124" s="1" t="n">
        <v>0.069</v>
      </c>
      <c r="H124" s="1" t="n">
        <v>15</v>
      </c>
      <c r="I124" s="1" t="n">
        <v>85.7</v>
      </c>
      <c r="J124" s="1" t="n">
        <v>1.88</v>
      </c>
      <c r="K124" s="1" t="n">
        <v>0</v>
      </c>
      <c r="L124" s="1" t="n">
        <v>3.9</v>
      </c>
      <c r="M124" s="1" t="n">
        <v>557487.26</v>
      </c>
      <c r="N124" s="1" t="n">
        <v>76432.19</v>
      </c>
    </row>
    <row r="125" customFormat="false" ht="15" hidden="false" customHeight="true" outlineLevel="0" collapsed="false">
      <c r="A125" s="1" t="s">
        <v>52</v>
      </c>
      <c r="B125" s="3" t="n">
        <v>45748</v>
      </c>
      <c r="C125" s="1" t="s">
        <v>20</v>
      </c>
      <c r="D125" s="1" t="s">
        <v>18</v>
      </c>
      <c r="E125" s="1" t="n">
        <v>19063.48</v>
      </c>
      <c r="F125" s="1" t="n">
        <v>1906</v>
      </c>
      <c r="G125" s="1" t="n">
        <v>0.216</v>
      </c>
      <c r="H125" s="1" t="n">
        <v>10</v>
      </c>
      <c r="I125" s="1" t="n">
        <v>97.8</v>
      </c>
      <c r="J125" s="1" t="n">
        <v>15.79</v>
      </c>
      <c r="K125" s="1" t="n">
        <v>0</v>
      </c>
      <c r="L125" s="1" t="n">
        <v>4.4</v>
      </c>
      <c r="M125" s="1" t="n">
        <v>441275.42</v>
      </c>
      <c r="N125" s="1" t="n">
        <v>58234.87</v>
      </c>
    </row>
    <row r="126" customFormat="false" ht="15" hidden="false" customHeight="true" outlineLevel="0" collapsed="false">
      <c r="A126" s="1" t="s">
        <v>53</v>
      </c>
      <c r="B126" s="3" t="n">
        <v>45658</v>
      </c>
      <c r="C126" s="1" t="s">
        <v>24</v>
      </c>
      <c r="D126" s="1" t="s">
        <v>18</v>
      </c>
      <c r="E126" s="1" t="n">
        <v>61541.21</v>
      </c>
      <c r="F126" s="1" t="n">
        <v>10396</v>
      </c>
      <c r="G126" s="1" t="n">
        <v>0.123</v>
      </c>
      <c r="H126" s="1" t="n">
        <v>25</v>
      </c>
      <c r="I126" s="1" t="n">
        <v>88.1</v>
      </c>
      <c r="J126" s="1" t="n">
        <v>2.34</v>
      </c>
      <c r="K126" s="1" t="n">
        <v>1</v>
      </c>
      <c r="L126" s="1" t="n">
        <v>4.8</v>
      </c>
      <c r="M126" s="1" t="n">
        <v>914544.17</v>
      </c>
      <c r="N126" s="1" t="n">
        <v>79831.73</v>
      </c>
    </row>
    <row r="127" customFormat="false" ht="15" hidden="false" customHeight="true" outlineLevel="0" collapsed="false">
      <c r="A127" s="1" t="s">
        <v>53</v>
      </c>
      <c r="B127" s="3" t="n">
        <v>45689</v>
      </c>
      <c r="C127" s="1" t="s">
        <v>24</v>
      </c>
      <c r="D127" s="1" t="s">
        <v>18</v>
      </c>
      <c r="E127" s="1" t="n">
        <v>44747</v>
      </c>
      <c r="F127" s="1" t="n">
        <v>11076</v>
      </c>
      <c r="G127" s="1" t="n">
        <v>0.176</v>
      </c>
      <c r="H127" s="1" t="n">
        <v>27</v>
      </c>
      <c r="I127" s="1" t="n">
        <v>98.3</v>
      </c>
      <c r="J127" s="1" t="n">
        <v>0.54</v>
      </c>
      <c r="K127" s="1" t="n">
        <v>0</v>
      </c>
      <c r="L127" s="1" t="n">
        <v>4.4</v>
      </c>
      <c r="M127" s="1" t="n">
        <v>842439.67</v>
      </c>
      <c r="N127" s="1" t="n">
        <v>169983.63</v>
      </c>
    </row>
    <row r="128" customFormat="false" ht="15" hidden="false" customHeight="true" outlineLevel="0" collapsed="false">
      <c r="A128" s="1" t="s">
        <v>53</v>
      </c>
      <c r="B128" s="3" t="n">
        <v>45717</v>
      </c>
      <c r="C128" s="1" t="s">
        <v>24</v>
      </c>
      <c r="D128" s="1" t="s">
        <v>18</v>
      </c>
      <c r="E128" s="1" t="n">
        <v>56517.9</v>
      </c>
      <c r="F128" s="1" t="n">
        <v>9574</v>
      </c>
      <c r="G128" s="1" t="n">
        <v>0.204</v>
      </c>
      <c r="H128" s="1" t="n">
        <v>20</v>
      </c>
      <c r="I128" s="1" t="n">
        <v>88.2</v>
      </c>
      <c r="J128" s="1" t="n">
        <v>5.37</v>
      </c>
      <c r="K128" s="1" t="n">
        <v>1</v>
      </c>
      <c r="L128" s="1" t="n">
        <v>4.9</v>
      </c>
      <c r="M128" s="1" t="n">
        <v>842157.92</v>
      </c>
      <c r="N128" s="1" t="n">
        <v>107348.22</v>
      </c>
    </row>
    <row r="129" customFormat="false" ht="15" hidden="false" customHeight="true" outlineLevel="0" collapsed="false">
      <c r="A129" s="1" t="s">
        <v>53</v>
      </c>
      <c r="B129" s="3" t="n">
        <v>45748</v>
      </c>
      <c r="C129" s="1" t="s">
        <v>24</v>
      </c>
      <c r="D129" s="1" t="s">
        <v>18</v>
      </c>
      <c r="E129" s="1" t="n">
        <v>37828.5</v>
      </c>
      <c r="F129" s="1" t="n">
        <v>8221</v>
      </c>
      <c r="G129" s="1" t="n">
        <v>0.096</v>
      </c>
      <c r="H129" s="1" t="n">
        <v>19</v>
      </c>
      <c r="I129" s="1" t="n">
        <v>81.5</v>
      </c>
      <c r="J129" s="1" t="n">
        <v>3.19</v>
      </c>
      <c r="K129" s="1" t="n">
        <v>0</v>
      </c>
      <c r="L129" s="1" t="n">
        <v>4.8</v>
      </c>
      <c r="M129" s="1" t="n">
        <v>697155.3</v>
      </c>
      <c r="N129" s="1" t="n">
        <v>136408.54</v>
      </c>
    </row>
    <row r="130" customFormat="false" ht="15" hidden="false" customHeight="true" outlineLevel="0" collapsed="false">
      <c r="A130" s="1" t="s">
        <v>54</v>
      </c>
      <c r="B130" s="3" t="n">
        <v>45658</v>
      </c>
      <c r="C130" s="1" t="s">
        <v>15</v>
      </c>
      <c r="D130" s="1" t="s">
        <v>18</v>
      </c>
      <c r="E130" s="1" t="n">
        <v>66250.53</v>
      </c>
      <c r="F130" s="1" t="n">
        <v>10618</v>
      </c>
      <c r="G130" s="1" t="n">
        <v>0.142</v>
      </c>
      <c r="H130" s="1" t="n">
        <v>27</v>
      </c>
      <c r="I130" s="1" t="n">
        <v>88.3</v>
      </c>
      <c r="J130" s="1" t="n">
        <v>1.1</v>
      </c>
      <c r="K130" s="1" t="n">
        <v>1</v>
      </c>
      <c r="L130" s="1" t="n">
        <v>4.4</v>
      </c>
      <c r="M130" s="1" t="n">
        <v>849018.3</v>
      </c>
      <c r="N130" s="1" t="n">
        <v>149035.13</v>
      </c>
    </row>
    <row r="131" customFormat="false" ht="15" hidden="false" customHeight="true" outlineLevel="0" collapsed="false">
      <c r="A131" s="1" t="s">
        <v>54</v>
      </c>
      <c r="B131" s="3" t="n">
        <v>45689</v>
      </c>
      <c r="C131" s="1" t="s">
        <v>15</v>
      </c>
      <c r="D131" s="1" t="s">
        <v>18</v>
      </c>
      <c r="E131" s="1" t="n">
        <v>68410.93</v>
      </c>
      <c r="F131" s="1" t="n">
        <v>10596</v>
      </c>
      <c r="G131" s="1" t="n">
        <v>0.207</v>
      </c>
      <c r="H131" s="1" t="n">
        <v>25</v>
      </c>
      <c r="I131" s="1" t="n">
        <v>81.2</v>
      </c>
      <c r="J131" s="1" t="n">
        <v>0.21</v>
      </c>
      <c r="K131" s="1" t="n">
        <v>0</v>
      </c>
      <c r="L131" s="1" t="n">
        <v>4</v>
      </c>
      <c r="M131" s="1" t="n">
        <v>801830.35</v>
      </c>
      <c r="N131" s="1" t="n">
        <v>114875.32</v>
      </c>
    </row>
    <row r="132" customFormat="false" ht="15" hidden="false" customHeight="true" outlineLevel="0" collapsed="false">
      <c r="A132" s="1" t="s">
        <v>54</v>
      </c>
      <c r="B132" s="3" t="n">
        <v>45717</v>
      </c>
      <c r="C132" s="1" t="s">
        <v>15</v>
      </c>
      <c r="D132" s="1" t="s">
        <v>18</v>
      </c>
      <c r="E132" s="1" t="n">
        <v>50735.63</v>
      </c>
      <c r="F132" s="1" t="n">
        <v>9619</v>
      </c>
      <c r="G132" s="1" t="n">
        <v>0.144</v>
      </c>
      <c r="H132" s="1" t="n">
        <v>19</v>
      </c>
      <c r="I132" s="1" t="n">
        <v>93.8</v>
      </c>
      <c r="J132" s="1" t="n">
        <v>5.12</v>
      </c>
      <c r="K132" s="1" t="n">
        <v>1</v>
      </c>
      <c r="L132" s="1" t="n">
        <v>4.5</v>
      </c>
      <c r="M132" s="1" t="n">
        <v>725235.28</v>
      </c>
      <c r="N132" s="1" t="n">
        <v>121632.24</v>
      </c>
    </row>
    <row r="133" customFormat="false" ht="15" hidden="false" customHeight="true" outlineLevel="0" collapsed="false">
      <c r="A133" s="1" t="s">
        <v>54</v>
      </c>
      <c r="B133" s="3" t="n">
        <v>45748</v>
      </c>
      <c r="C133" s="1" t="s">
        <v>15</v>
      </c>
      <c r="D133" s="1" t="s">
        <v>18</v>
      </c>
      <c r="E133" s="1" t="n">
        <v>66455.8</v>
      </c>
      <c r="F133" s="1" t="n">
        <v>10836</v>
      </c>
      <c r="G133" s="1" t="n">
        <v>0.089</v>
      </c>
      <c r="H133" s="1" t="n">
        <v>25</v>
      </c>
      <c r="I133" s="1" t="n">
        <v>85</v>
      </c>
      <c r="J133" s="1" t="n">
        <v>9.77</v>
      </c>
      <c r="K133" s="1" t="n">
        <v>0</v>
      </c>
      <c r="L133" s="1" t="n">
        <v>4.5</v>
      </c>
      <c r="M133" s="1" t="n">
        <v>811452.72</v>
      </c>
      <c r="N133" s="1" t="n">
        <v>131325.67</v>
      </c>
    </row>
    <row r="134" customFormat="false" ht="15" hidden="false" customHeight="true" outlineLevel="0" collapsed="false">
      <c r="A134" s="1" t="s">
        <v>55</v>
      </c>
      <c r="B134" s="3" t="n">
        <v>45658</v>
      </c>
      <c r="C134" s="1" t="s">
        <v>20</v>
      </c>
      <c r="D134" s="1" t="s">
        <v>18</v>
      </c>
      <c r="E134" s="1" t="n">
        <v>70276.28</v>
      </c>
      <c r="F134" s="1" t="n">
        <v>3043</v>
      </c>
      <c r="G134" s="1" t="n">
        <v>0.079</v>
      </c>
      <c r="H134" s="1" t="n">
        <v>9</v>
      </c>
      <c r="I134" s="1" t="n">
        <v>87.9</v>
      </c>
      <c r="J134" s="1" t="n">
        <v>3.77</v>
      </c>
      <c r="K134" s="1" t="n">
        <v>0</v>
      </c>
      <c r="L134" s="1" t="n">
        <v>4.4</v>
      </c>
      <c r="M134" s="1" t="n">
        <v>527300.13</v>
      </c>
      <c r="N134" s="1" t="n">
        <v>84197.87</v>
      </c>
    </row>
    <row r="135" customFormat="false" ht="15" hidden="false" customHeight="true" outlineLevel="0" collapsed="false">
      <c r="A135" s="1" t="s">
        <v>55</v>
      </c>
      <c r="B135" s="3" t="n">
        <v>45689</v>
      </c>
      <c r="C135" s="1" t="s">
        <v>20</v>
      </c>
      <c r="D135" s="1" t="s">
        <v>18</v>
      </c>
      <c r="E135" s="1" t="n">
        <v>22071.64</v>
      </c>
      <c r="F135" s="1" t="n">
        <v>1814</v>
      </c>
      <c r="G135" s="1" t="n">
        <v>0.196</v>
      </c>
      <c r="H135" s="1" t="n">
        <v>8</v>
      </c>
      <c r="I135" s="1" t="n">
        <v>81.1</v>
      </c>
      <c r="J135" s="1" t="n">
        <v>0.78</v>
      </c>
      <c r="K135" s="1" t="n">
        <v>0</v>
      </c>
      <c r="M135" s="1" t="n">
        <v>400831.65</v>
      </c>
      <c r="N135" s="1" t="n">
        <v>70979.31</v>
      </c>
    </row>
    <row r="136" customFormat="false" ht="15" hidden="false" customHeight="true" outlineLevel="0" collapsed="false">
      <c r="A136" s="1" t="s">
        <v>55</v>
      </c>
      <c r="B136" s="3" t="n">
        <v>45717</v>
      </c>
      <c r="C136" s="1" t="s">
        <v>20</v>
      </c>
      <c r="D136" s="1" t="s">
        <v>18</v>
      </c>
      <c r="E136" s="1" t="n">
        <v>52285.45</v>
      </c>
      <c r="F136" s="1" t="n">
        <v>3618</v>
      </c>
      <c r="G136" s="1" t="n">
        <v>0.086</v>
      </c>
      <c r="H136" s="1" t="n">
        <v>11</v>
      </c>
      <c r="I136" s="1" t="n">
        <v>95.6</v>
      </c>
      <c r="J136" s="1" t="n">
        <v>5.17</v>
      </c>
      <c r="K136" s="1" t="n">
        <v>1</v>
      </c>
      <c r="L136" s="1" t="n">
        <v>4.4</v>
      </c>
      <c r="M136" s="1" t="n">
        <v>593247.25</v>
      </c>
      <c r="N136" s="1" t="n">
        <v>81240.29</v>
      </c>
    </row>
    <row r="137" customFormat="false" ht="15" hidden="false" customHeight="true" outlineLevel="0" collapsed="false">
      <c r="A137" s="1" t="s">
        <v>55</v>
      </c>
      <c r="B137" s="3" t="n">
        <v>45748</v>
      </c>
      <c r="C137" s="1" t="s">
        <v>20</v>
      </c>
      <c r="D137" s="1" t="s">
        <v>18</v>
      </c>
      <c r="E137" s="1" t="n">
        <v>70366.76</v>
      </c>
      <c r="F137" s="1" t="n">
        <v>1963</v>
      </c>
      <c r="G137" s="1" t="n">
        <v>0.182</v>
      </c>
      <c r="H137" s="1" t="n">
        <v>8</v>
      </c>
      <c r="I137" s="1" t="n">
        <v>89.8</v>
      </c>
      <c r="J137" s="1" t="n">
        <v>3.2</v>
      </c>
      <c r="K137" s="1" t="n">
        <v>0</v>
      </c>
      <c r="L137" s="1" t="n">
        <v>4.6</v>
      </c>
      <c r="M137" s="1" t="n">
        <v>529075.95</v>
      </c>
      <c r="N137" s="1" t="n">
        <v>95978.83</v>
      </c>
    </row>
    <row r="138" customFormat="false" ht="15" hidden="false" customHeight="true" outlineLevel="0" collapsed="false">
      <c r="A138" s="1" t="s">
        <v>56</v>
      </c>
      <c r="B138" s="3" t="n">
        <v>45658</v>
      </c>
      <c r="C138" s="1" t="s">
        <v>24</v>
      </c>
      <c r="D138" s="1" t="s">
        <v>16</v>
      </c>
      <c r="E138" s="1" t="n">
        <v>71320.66</v>
      </c>
      <c r="F138" s="1" t="n">
        <v>7888</v>
      </c>
      <c r="G138" s="1" t="n">
        <v>0.048</v>
      </c>
      <c r="H138" s="1" t="n">
        <v>20</v>
      </c>
      <c r="I138" s="1" t="n">
        <v>78.1</v>
      </c>
      <c r="J138" s="1" t="n">
        <v>3.4</v>
      </c>
      <c r="K138" s="1" t="n">
        <v>0</v>
      </c>
      <c r="M138" s="1" t="n">
        <v>633638.03</v>
      </c>
      <c r="N138" s="1" t="n">
        <v>99402.01</v>
      </c>
    </row>
    <row r="139" customFormat="false" ht="15" hidden="false" customHeight="true" outlineLevel="0" collapsed="false">
      <c r="A139" s="1" t="s">
        <v>56</v>
      </c>
      <c r="B139" s="3" t="n">
        <v>45689</v>
      </c>
      <c r="C139" s="1" t="s">
        <v>24</v>
      </c>
      <c r="D139" s="1" t="s">
        <v>16</v>
      </c>
      <c r="E139" s="1" t="n">
        <v>75109.67</v>
      </c>
      <c r="F139" s="1" t="n">
        <v>6244</v>
      </c>
      <c r="G139" s="1" t="n">
        <v>0.079</v>
      </c>
      <c r="H139" s="1" t="n">
        <v>15</v>
      </c>
      <c r="I139" s="1" t="n">
        <v>96.3</v>
      </c>
      <c r="J139" s="1" t="n">
        <v>7.38</v>
      </c>
      <c r="K139" s="1" t="n">
        <v>0</v>
      </c>
      <c r="L139" s="1" t="n">
        <v>3.7</v>
      </c>
      <c r="M139" s="1" t="n">
        <v>743348.84</v>
      </c>
      <c r="N139" s="1" t="n">
        <v>104186.09</v>
      </c>
    </row>
    <row r="140" customFormat="false" ht="15" hidden="false" customHeight="true" outlineLevel="0" collapsed="false">
      <c r="A140" s="1" t="s">
        <v>56</v>
      </c>
      <c r="B140" s="3" t="n">
        <v>45717</v>
      </c>
      <c r="C140" s="1" t="s">
        <v>24</v>
      </c>
      <c r="D140" s="1" t="s">
        <v>16</v>
      </c>
      <c r="E140" s="1" t="n">
        <v>69779</v>
      </c>
      <c r="F140" s="1" t="n">
        <v>6544</v>
      </c>
      <c r="G140" s="1" t="n">
        <v>0.152</v>
      </c>
      <c r="H140" s="1" t="n">
        <v>18</v>
      </c>
      <c r="I140" s="1" t="n">
        <v>90.2</v>
      </c>
      <c r="J140" s="1" t="n">
        <v>0.85</v>
      </c>
      <c r="K140" s="1" t="n">
        <v>1</v>
      </c>
      <c r="L140" s="1" t="n">
        <v>3.3</v>
      </c>
      <c r="M140" s="1" t="n">
        <v>758827.64</v>
      </c>
      <c r="N140" s="1" t="n">
        <v>161439.48</v>
      </c>
    </row>
    <row r="141" customFormat="false" ht="15" hidden="false" customHeight="true" outlineLevel="0" collapsed="false">
      <c r="A141" s="1" t="s">
        <v>56</v>
      </c>
      <c r="B141" s="3" t="n">
        <v>45748</v>
      </c>
      <c r="C141" s="1" t="s">
        <v>24</v>
      </c>
      <c r="D141" s="1" t="s">
        <v>16</v>
      </c>
      <c r="E141" s="1" t="n">
        <v>44211.95</v>
      </c>
      <c r="F141" s="1" t="n">
        <v>5465</v>
      </c>
      <c r="G141" s="1" t="n">
        <v>0.187</v>
      </c>
      <c r="H141" s="1" t="n">
        <v>12</v>
      </c>
      <c r="I141" s="1" t="n">
        <v>90</v>
      </c>
      <c r="J141" s="1" t="n">
        <v>2.89</v>
      </c>
      <c r="K141" s="1" t="n">
        <v>0</v>
      </c>
      <c r="L141" s="1" t="n">
        <v>3.6</v>
      </c>
      <c r="M141" s="1" t="n">
        <v>646559.71</v>
      </c>
      <c r="N141" s="1" t="n">
        <v>97981.75</v>
      </c>
    </row>
    <row r="142" customFormat="false" ht="15" hidden="false" customHeight="true" outlineLevel="0" collapsed="false">
      <c r="A142" s="1" t="s">
        <v>57</v>
      </c>
      <c r="B142" s="3" t="n">
        <v>45658</v>
      </c>
      <c r="C142" s="1" t="s">
        <v>27</v>
      </c>
      <c r="D142" s="1" t="s">
        <v>18</v>
      </c>
      <c r="E142" s="1" t="n">
        <v>51430.31</v>
      </c>
      <c r="F142" s="1" t="n">
        <v>6427</v>
      </c>
      <c r="G142" s="1" t="n">
        <v>0.234</v>
      </c>
      <c r="H142" s="1" t="n">
        <v>14</v>
      </c>
      <c r="I142" s="1" t="n">
        <v>88.8</v>
      </c>
      <c r="J142" s="1" t="n">
        <v>0.77</v>
      </c>
      <c r="K142" s="1" t="n">
        <v>0</v>
      </c>
      <c r="L142" s="1" t="n">
        <v>4.1</v>
      </c>
      <c r="M142" s="1" t="n">
        <v>715890.53</v>
      </c>
      <c r="N142" s="1" t="n">
        <v>109032.15</v>
      </c>
    </row>
    <row r="143" customFormat="false" ht="15" hidden="false" customHeight="true" outlineLevel="0" collapsed="false">
      <c r="A143" s="1" t="s">
        <v>57</v>
      </c>
      <c r="B143" s="3" t="n">
        <v>45689</v>
      </c>
      <c r="C143" s="1" t="s">
        <v>27</v>
      </c>
      <c r="D143" s="1" t="s">
        <v>18</v>
      </c>
      <c r="E143" s="1" t="n">
        <v>45706.49</v>
      </c>
      <c r="F143" s="1" t="n">
        <v>6704</v>
      </c>
      <c r="G143" s="1" t="n">
        <v>0.038</v>
      </c>
      <c r="H143" s="1" t="n">
        <v>15</v>
      </c>
      <c r="I143" s="1" t="n">
        <v>94.2</v>
      </c>
      <c r="J143" s="1" t="n">
        <v>2.92</v>
      </c>
      <c r="K143" s="1" t="n">
        <v>0</v>
      </c>
      <c r="L143" s="1" t="n">
        <v>4.2</v>
      </c>
      <c r="M143" s="1" t="n">
        <v>715097.57</v>
      </c>
      <c r="N143" s="1" t="n">
        <v>151875.86</v>
      </c>
    </row>
    <row r="144" customFormat="false" ht="15" hidden="false" customHeight="true" outlineLevel="0" collapsed="false">
      <c r="A144" s="1" t="s">
        <v>57</v>
      </c>
      <c r="B144" s="3" t="n">
        <v>45717</v>
      </c>
      <c r="C144" s="1" t="s">
        <v>27</v>
      </c>
      <c r="D144" s="1" t="s">
        <v>18</v>
      </c>
      <c r="E144" s="1" t="n">
        <v>44034.6</v>
      </c>
      <c r="F144" s="1" t="n">
        <v>5645</v>
      </c>
      <c r="G144" s="1" t="n">
        <v>0.069</v>
      </c>
      <c r="H144" s="1" t="n">
        <v>18</v>
      </c>
      <c r="I144" s="1" t="n">
        <v>88.5</v>
      </c>
      <c r="J144" s="1" t="n">
        <v>3.07</v>
      </c>
      <c r="K144" s="1" t="n">
        <v>0</v>
      </c>
      <c r="L144" s="1" t="n">
        <v>3.8</v>
      </c>
      <c r="M144" s="1" t="n">
        <v>682639.28</v>
      </c>
      <c r="N144" s="1" t="n">
        <v>77557.53</v>
      </c>
    </row>
    <row r="145" customFormat="false" ht="15" hidden="false" customHeight="true" outlineLevel="0" collapsed="false">
      <c r="A145" s="1" t="s">
        <v>57</v>
      </c>
      <c r="B145" s="3" t="n">
        <v>45748</v>
      </c>
      <c r="C145" s="1" t="s">
        <v>27</v>
      </c>
      <c r="D145" s="1" t="s">
        <v>18</v>
      </c>
      <c r="E145" s="1" t="n">
        <v>50198.12</v>
      </c>
      <c r="F145" s="1" t="n">
        <v>6089</v>
      </c>
      <c r="G145" s="1" t="n">
        <v>0.182</v>
      </c>
      <c r="H145" s="1" t="n">
        <v>19</v>
      </c>
      <c r="I145" s="1" t="n">
        <v>94</v>
      </c>
      <c r="J145" s="1" t="n">
        <v>9.7</v>
      </c>
      <c r="K145" s="1" t="n">
        <v>0</v>
      </c>
      <c r="L145" s="1" t="n">
        <v>3.9</v>
      </c>
      <c r="M145" s="1" t="n">
        <v>695098.51</v>
      </c>
      <c r="N145" s="1" t="n">
        <v>108192.75</v>
      </c>
    </row>
    <row r="146" customFormat="false" ht="15" hidden="false" customHeight="true" outlineLevel="0" collapsed="false">
      <c r="A146" s="1" t="s">
        <v>58</v>
      </c>
      <c r="B146" s="3" t="n">
        <v>45658</v>
      </c>
      <c r="C146" s="1" t="s">
        <v>20</v>
      </c>
      <c r="D146" s="1" t="s">
        <v>16</v>
      </c>
      <c r="E146" s="1" t="n">
        <v>70488.2</v>
      </c>
      <c r="F146" s="1" t="n">
        <v>4312</v>
      </c>
      <c r="G146" s="1" t="n">
        <v>0.169</v>
      </c>
      <c r="H146" s="1" t="n">
        <v>12</v>
      </c>
      <c r="I146" s="1" t="n">
        <v>90.2</v>
      </c>
      <c r="J146" s="1" t="n">
        <v>3.71</v>
      </c>
      <c r="K146" s="1" t="n">
        <v>0</v>
      </c>
      <c r="L146" s="1" t="n">
        <v>3.2</v>
      </c>
      <c r="M146" s="1" t="n">
        <v>577732.57</v>
      </c>
      <c r="N146" s="1" t="n">
        <v>93804.27</v>
      </c>
    </row>
    <row r="147" customFormat="false" ht="15" hidden="false" customHeight="true" outlineLevel="0" collapsed="false">
      <c r="A147" s="1" t="s">
        <v>58</v>
      </c>
      <c r="B147" s="3" t="n">
        <v>45689</v>
      </c>
      <c r="C147" s="1" t="s">
        <v>20</v>
      </c>
      <c r="D147" s="1" t="s">
        <v>16</v>
      </c>
      <c r="E147" s="1" t="n">
        <v>50909.27</v>
      </c>
      <c r="F147" s="1" t="n">
        <v>3152</v>
      </c>
      <c r="G147" s="1" t="n">
        <v>0.06</v>
      </c>
      <c r="H147" s="1" t="n">
        <v>13</v>
      </c>
      <c r="I147" s="1" t="n">
        <v>93.7</v>
      </c>
      <c r="J147" s="1" t="n">
        <v>10.79</v>
      </c>
      <c r="K147" s="1" t="n">
        <v>0</v>
      </c>
      <c r="L147" s="1" t="n">
        <v>3.5</v>
      </c>
      <c r="M147" s="1" t="n">
        <v>537058.33</v>
      </c>
      <c r="N147" s="1" t="n">
        <v>93555.71</v>
      </c>
    </row>
    <row r="148" customFormat="false" ht="15" hidden="false" customHeight="true" outlineLevel="0" collapsed="false">
      <c r="A148" s="1" t="s">
        <v>58</v>
      </c>
      <c r="B148" s="3" t="n">
        <v>45717</v>
      </c>
      <c r="C148" s="1" t="s">
        <v>20</v>
      </c>
      <c r="D148" s="1" t="s">
        <v>16</v>
      </c>
      <c r="E148" s="1" t="n">
        <v>53351.7</v>
      </c>
      <c r="F148" s="1" t="n">
        <v>4259</v>
      </c>
      <c r="G148" s="1" t="n">
        <v>0.156</v>
      </c>
      <c r="H148" s="1" t="n">
        <v>15</v>
      </c>
      <c r="I148" s="1" t="n">
        <v>93.7</v>
      </c>
      <c r="J148" s="1" t="n">
        <v>6.03</v>
      </c>
      <c r="K148" s="1" t="n">
        <v>0</v>
      </c>
      <c r="L148" s="1" t="n">
        <v>3.4</v>
      </c>
      <c r="M148" s="1" t="n">
        <v>601568.87</v>
      </c>
      <c r="N148" s="1" t="n">
        <v>91634.82</v>
      </c>
    </row>
    <row r="149" customFormat="false" ht="15" hidden="false" customHeight="true" outlineLevel="0" collapsed="false">
      <c r="A149" s="1" t="s">
        <v>58</v>
      </c>
      <c r="B149" s="3" t="n">
        <v>45748</v>
      </c>
      <c r="C149" s="1" t="s">
        <v>20</v>
      </c>
      <c r="D149" s="1" t="s">
        <v>16</v>
      </c>
      <c r="E149" s="1" t="n">
        <v>60322.4</v>
      </c>
      <c r="F149" s="1" t="n">
        <v>3350</v>
      </c>
      <c r="G149" s="1" t="n">
        <v>0.108</v>
      </c>
      <c r="H149" s="1" t="n">
        <v>12</v>
      </c>
      <c r="I149" s="1" t="n">
        <v>89.4</v>
      </c>
      <c r="J149" s="1" t="n">
        <v>4.92</v>
      </c>
      <c r="K149" s="1" t="n">
        <v>0</v>
      </c>
      <c r="L149" s="1" t="n">
        <v>3.4</v>
      </c>
      <c r="M149" s="1" t="n">
        <v>570964.84</v>
      </c>
      <c r="N149" s="1" t="n">
        <v>81331.07</v>
      </c>
    </row>
    <row r="150" customFormat="false" ht="15" hidden="false" customHeight="true" outlineLevel="0" collapsed="false">
      <c r="A150" s="1" t="s">
        <v>59</v>
      </c>
      <c r="B150" s="3" t="n">
        <v>45658</v>
      </c>
      <c r="C150" s="1" t="s">
        <v>24</v>
      </c>
      <c r="D150" s="1" t="s">
        <v>28</v>
      </c>
      <c r="E150" s="1" t="n">
        <v>51575.68</v>
      </c>
      <c r="F150" s="1" t="n">
        <v>5329</v>
      </c>
      <c r="G150" s="1" t="n">
        <v>0.047</v>
      </c>
      <c r="H150" s="1" t="n">
        <v>17</v>
      </c>
      <c r="I150" s="1" t="n">
        <v>88.1</v>
      </c>
      <c r="J150" s="1" t="n">
        <v>19.78</v>
      </c>
      <c r="K150" s="1" t="n">
        <v>0</v>
      </c>
      <c r="L150" s="1" t="n">
        <v>3.8</v>
      </c>
      <c r="M150" s="1" t="n">
        <v>614024.91</v>
      </c>
      <c r="N150" s="1" t="n">
        <v>84828.93</v>
      </c>
    </row>
    <row r="151" customFormat="false" ht="15" hidden="false" customHeight="true" outlineLevel="0" collapsed="false">
      <c r="A151" s="1" t="s">
        <v>59</v>
      </c>
      <c r="B151" s="3" t="n">
        <v>45689</v>
      </c>
      <c r="C151" s="1" t="s">
        <v>24</v>
      </c>
      <c r="D151" s="1" t="s">
        <v>28</v>
      </c>
      <c r="E151" s="1" t="n">
        <v>43319.94</v>
      </c>
      <c r="F151" s="1" t="n">
        <v>6551</v>
      </c>
      <c r="G151" s="1" t="n">
        <v>0.044</v>
      </c>
      <c r="H151" s="1" t="n">
        <v>13</v>
      </c>
      <c r="I151" s="1" t="n">
        <v>99</v>
      </c>
      <c r="J151" s="1" t="n">
        <v>5.45</v>
      </c>
      <c r="K151" s="1" t="n">
        <v>0</v>
      </c>
      <c r="L151" s="1" t="n">
        <v>4.1</v>
      </c>
      <c r="M151" s="1" t="n">
        <v>712868.35</v>
      </c>
      <c r="N151" s="1" t="n">
        <v>133650.51</v>
      </c>
    </row>
    <row r="152" customFormat="false" ht="15" hidden="false" customHeight="true" outlineLevel="0" collapsed="false">
      <c r="A152" s="1" t="s">
        <v>59</v>
      </c>
      <c r="B152" s="3" t="n">
        <v>45717</v>
      </c>
      <c r="C152" s="1" t="s">
        <v>24</v>
      </c>
      <c r="D152" s="1" t="s">
        <v>28</v>
      </c>
      <c r="E152" s="1" t="n">
        <v>47093.55</v>
      </c>
      <c r="F152" s="1" t="n">
        <v>5550</v>
      </c>
      <c r="G152" s="1" t="n">
        <v>0.1</v>
      </c>
      <c r="H152" s="1" t="n">
        <v>12</v>
      </c>
      <c r="I152" s="1" t="n">
        <v>95</v>
      </c>
      <c r="J152" s="1" t="n">
        <v>2.33</v>
      </c>
      <c r="K152" s="1" t="n">
        <v>1</v>
      </c>
      <c r="L152" s="1" t="n">
        <v>3.7</v>
      </c>
      <c r="M152" s="1" t="n">
        <v>696744.15</v>
      </c>
      <c r="N152" s="1" t="n">
        <v>152230.09</v>
      </c>
    </row>
    <row r="153" customFormat="false" ht="15" hidden="false" customHeight="true" outlineLevel="0" collapsed="false">
      <c r="A153" s="1" t="s">
        <v>59</v>
      </c>
      <c r="B153" s="3" t="n">
        <v>45748</v>
      </c>
      <c r="C153" s="1" t="s">
        <v>24</v>
      </c>
      <c r="D153" s="1" t="s">
        <v>28</v>
      </c>
      <c r="E153" s="1" t="n">
        <v>71855.09</v>
      </c>
      <c r="F153" s="1" t="n">
        <v>5911</v>
      </c>
      <c r="G153" s="1" t="n">
        <v>0.197</v>
      </c>
      <c r="H153" s="1" t="n">
        <v>15</v>
      </c>
      <c r="I153" s="1" t="n">
        <v>94.3</v>
      </c>
      <c r="J153" s="1" t="n">
        <v>3.55</v>
      </c>
      <c r="K153" s="1" t="n">
        <v>0</v>
      </c>
      <c r="L153" s="1" t="n">
        <v>4.1</v>
      </c>
      <c r="M153" s="1" t="n">
        <v>725847.99</v>
      </c>
      <c r="N153" s="1" t="n">
        <v>122698.73</v>
      </c>
    </row>
    <row r="154" customFormat="false" ht="15" hidden="false" customHeight="true" outlineLevel="0" collapsed="false">
      <c r="A154" s="1" t="s">
        <v>60</v>
      </c>
      <c r="B154" s="3" t="n">
        <v>45658</v>
      </c>
      <c r="C154" s="1" t="s">
        <v>15</v>
      </c>
      <c r="D154" s="1" t="s">
        <v>18</v>
      </c>
      <c r="E154" s="1" t="n">
        <v>75645.23</v>
      </c>
      <c r="F154" s="1" t="n">
        <v>9674</v>
      </c>
      <c r="G154" s="1" t="n">
        <v>0.234</v>
      </c>
      <c r="H154" s="1" t="n">
        <v>21</v>
      </c>
      <c r="I154" s="1" t="n">
        <v>87.4</v>
      </c>
      <c r="J154" s="1" t="n">
        <v>0.2</v>
      </c>
      <c r="K154" s="1" t="n">
        <v>0</v>
      </c>
      <c r="L154" s="1" t="n">
        <v>4.5</v>
      </c>
      <c r="M154" s="1" t="n">
        <v>785028.25</v>
      </c>
      <c r="N154" s="1" t="n">
        <v>110726.44</v>
      </c>
    </row>
    <row r="155" customFormat="false" ht="15" hidden="false" customHeight="true" outlineLevel="0" collapsed="false">
      <c r="A155" s="1" t="s">
        <v>60</v>
      </c>
      <c r="B155" s="3" t="n">
        <v>45689</v>
      </c>
      <c r="C155" s="1" t="s">
        <v>15</v>
      </c>
      <c r="D155" s="1" t="s">
        <v>18</v>
      </c>
      <c r="E155" s="1" t="n">
        <v>64374.75</v>
      </c>
      <c r="F155" s="1" t="n">
        <v>6740</v>
      </c>
      <c r="G155" s="1" t="n">
        <v>0.169</v>
      </c>
      <c r="H155" s="1" t="n">
        <v>18</v>
      </c>
      <c r="I155" s="1" t="n">
        <v>87</v>
      </c>
      <c r="J155" s="1" t="n">
        <v>2.09</v>
      </c>
      <c r="K155" s="1" t="n">
        <v>0</v>
      </c>
      <c r="L155" s="1" t="n">
        <v>4.2</v>
      </c>
      <c r="M155" s="1" t="n">
        <v>698492.67</v>
      </c>
      <c r="N155" s="1" t="n">
        <v>117319.32</v>
      </c>
    </row>
    <row r="156" customFormat="false" ht="15" hidden="false" customHeight="true" outlineLevel="0" collapsed="false">
      <c r="A156" s="1" t="s">
        <v>60</v>
      </c>
      <c r="B156" s="3" t="n">
        <v>45717</v>
      </c>
      <c r="C156" s="1" t="s">
        <v>15</v>
      </c>
      <c r="D156" s="1" t="s">
        <v>18</v>
      </c>
      <c r="E156" s="1" t="n">
        <v>61433.84</v>
      </c>
      <c r="F156" s="1" t="n">
        <v>7745</v>
      </c>
      <c r="G156" s="1" t="n">
        <v>0.18</v>
      </c>
      <c r="H156" s="1" t="n">
        <v>16</v>
      </c>
      <c r="I156" s="1" t="n">
        <v>90.5</v>
      </c>
      <c r="J156" s="1" t="n">
        <v>2.26</v>
      </c>
      <c r="K156" s="1" t="n">
        <v>0</v>
      </c>
      <c r="L156" s="1" t="n">
        <v>4.2</v>
      </c>
      <c r="M156" s="1" t="n">
        <v>685830.24</v>
      </c>
      <c r="N156" s="1" t="n">
        <v>128736.18</v>
      </c>
    </row>
    <row r="157" customFormat="false" ht="15" hidden="false" customHeight="true" outlineLevel="0" collapsed="false">
      <c r="A157" s="1" t="s">
        <v>60</v>
      </c>
      <c r="B157" s="3" t="n">
        <v>45748</v>
      </c>
      <c r="C157" s="1" t="s">
        <v>15</v>
      </c>
      <c r="D157" s="1" t="s">
        <v>18</v>
      </c>
      <c r="E157" s="1" t="n">
        <v>42698.14</v>
      </c>
      <c r="F157" s="1" t="n">
        <v>7693</v>
      </c>
      <c r="G157" s="1" t="n">
        <v>0.187</v>
      </c>
      <c r="H157" s="1" t="n">
        <v>19</v>
      </c>
      <c r="I157" s="1" t="n">
        <v>90.1</v>
      </c>
      <c r="J157" s="1" t="n">
        <v>0.44</v>
      </c>
      <c r="K157" s="1" t="n">
        <v>0</v>
      </c>
      <c r="L157" s="1" t="n">
        <v>4.4</v>
      </c>
      <c r="M157" s="1" t="n">
        <v>702318.94</v>
      </c>
      <c r="N157" s="1" t="n">
        <v>112829.29</v>
      </c>
    </row>
    <row r="158" customFormat="false" ht="15" hidden="false" customHeight="true" outlineLevel="0" collapsed="false">
      <c r="A158" s="1" t="s">
        <v>61</v>
      </c>
      <c r="B158" s="3" t="n">
        <v>45658</v>
      </c>
      <c r="C158" s="1" t="s">
        <v>20</v>
      </c>
      <c r="D158" s="1" t="s">
        <v>28</v>
      </c>
      <c r="E158" s="1" t="n">
        <v>86883.31</v>
      </c>
      <c r="F158" s="1" t="n">
        <v>6424</v>
      </c>
      <c r="G158" s="1" t="n">
        <v>0.057</v>
      </c>
      <c r="H158" s="1" t="n">
        <v>19</v>
      </c>
      <c r="I158" s="1" t="n">
        <v>85.2</v>
      </c>
      <c r="J158" s="1" t="n">
        <v>3.08</v>
      </c>
      <c r="K158" s="1" t="n">
        <v>0</v>
      </c>
      <c r="L158" s="1" t="n">
        <v>3.9</v>
      </c>
      <c r="M158" s="1" t="n">
        <v>700078.32</v>
      </c>
      <c r="N158" s="1" t="n">
        <v>123707.58</v>
      </c>
    </row>
    <row r="159" customFormat="false" ht="15" hidden="false" customHeight="true" outlineLevel="0" collapsed="false">
      <c r="A159" s="1" t="s">
        <v>61</v>
      </c>
      <c r="B159" s="3" t="n">
        <v>45689</v>
      </c>
      <c r="C159" s="1" t="s">
        <v>20</v>
      </c>
      <c r="D159" s="1" t="s">
        <v>28</v>
      </c>
      <c r="E159" s="1" t="n">
        <v>41863.08</v>
      </c>
      <c r="F159" s="1" t="n">
        <v>5400</v>
      </c>
      <c r="G159" s="1" t="n">
        <v>0.114</v>
      </c>
      <c r="H159" s="1" t="n">
        <v>11</v>
      </c>
      <c r="I159" s="1" t="n">
        <v>91.6</v>
      </c>
      <c r="J159" s="1" t="n">
        <v>7.99</v>
      </c>
      <c r="K159" s="1" t="n">
        <v>0</v>
      </c>
      <c r="L159" s="1" t="n">
        <v>3</v>
      </c>
      <c r="M159" s="1" t="n">
        <v>602002.32</v>
      </c>
      <c r="N159" s="1" t="n">
        <v>110453.28</v>
      </c>
    </row>
    <row r="160" customFormat="false" ht="15" hidden="false" customHeight="true" outlineLevel="0" collapsed="false">
      <c r="A160" s="1" t="s">
        <v>61</v>
      </c>
      <c r="B160" s="3" t="n">
        <v>45717</v>
      </c>
      <c r="C160" s="1" t="s">
        <v>20</v>
      </c>
      <c r="D160" s="1" t="s">
        <v>28</v>
      </c>
      <c r="E160" s="1" t="n">
        <v>56918.16</v>
      </c>
      <c r="F160" s="1" t="n">
        <v>7015</v>
      </c>
      <c r="G160" s="1" t="n">
        <v>0.158</v>
      </c>
      <c r="H160" s="1" t="n">
        <v>18</v>
      </c>
      <c r="I160" s="1" t="n">
        <v>74.2</v>
      </c>
      <c r="J160" s="1" t="n">
        <v>0.2</v>
      </c>
      <c r="K160" s="1" t="n">
        <v>0</v>
      </c>
      <c r="L160" s="1" t="n">
        <v>3.4</v>
      </c>
      <c r="M160" s="1" t="n">
        <v>724216.07</v>
      </c>
      <c r="N160" s="1" t="n">
        <v>100627.56</v>
      </c>
    </row>
    <row r="161" customFormat="false" ht="15" hidden="false" customHeight="true" outlineLevel="0" collapsed="false">
      <c r="A161" s="1" t="s">
        <v>61</v>
      </c>
      <c r="B161" s="3" t="n">
        <v>45748</v>
      </c>
      <c r="C161" s="1" t="s">
        <v>20</v>
      </c>
      <c r="D161" s="1" t="s">
        <v>28</v>
      </c>
      <c r="E161" s="1" t="n">
        <v>23254.57</v>
      </c>
      <c r="F161" s="1" t="n">
        <v>3847</v>
      </c>
      <c r="G161" s="1" t="n">
        <v>0.159</v>
      </c>
      <c r="H161" s="1" t="n">
        <v>12</v>
      </c>
      <c r="I161" s="1" t="n">
        <v>93</v>
      </c>
      <c r="J161" s="1" t="n">
        <v>5.46</v>
      </c>
      <c r="K161" s="1" t="n">
        <v>0</v>
      </c>
      <c r="L161" s="1" t="n">
        <v>3.3</v>
      </c>
      <c r="M161" s="1" t="n">
        <v>620973.03</v>
      </c>
      <c r="N161" s="1" t="n">
        <v>72303.85</v>
      </c>
    </row>
    <row r="162" customFormat="false" ht="15" hidden="false" customHeight="true" outlineLevel="0" collapsed="false">
      <c r="A162" s="1" t="s">
        <v>62</v>
      </c>
      <c r="B162" s="3" t="n">
        <v>45658</v>
      </c>
      <c r="C162" s="1" t="s">
        <v>24</v>
      </c>
      <c r="D162" s="1" t="s">
        <v>18</v>
      </c>
      <c r="E162" s="1" t="n">
        <v>41443.41</v>
      </c>
      <c r="F162" s="1" t="n">
        <v>7455</v>
      </c>
      <c r="G162" s="1" t="n">
        <v>0.175</v>
      </c>
      <c r="H162" s="1" t="n">
        <v>16</v>
      </c>
      <c r="I162" s="1" t="n">
        <v>90.1</v>
      </c>
      <c r="J162" s="1" t="n">
        <v>4.05</v>
      </c>
      <c r="K162" s="1" t="n">
        <v>0</v>
      </c>
      <c r="L162" s="1" t="n">
        <v>4</v>
      </c>
      <c r="M162" s="1" t="n">
        <v>650480.06</v>
      </c>
      <c r="N162" s="1" t="n">
        <v>109012.07</v>
      </c>
    </row>
    <row r="163" customFormat="false" ht="15" hidden="false" customHeight="true" outlineLevel="0" collapsed="false">
      <c r="A163" s="1" t="s">
        <v>62</v>
      </c>
      <c r="B163" s="3" t="n">
        <v>45689</v>
      </c>
      <c r="C163" s="1" t="s">
        <v>24</v>
      </c>
      <c r="D163" s="1" t="s">
        <v>18</v>
      </c>
      <c r="E163" s="1" t="n">
        <v>48438.85</v>
      </c>
      <c r="F163" s="1" t="n">
        <v>6992</v>
      </c>
      <c r="G163" s="1" t="n">
        <v>0.034</v>
      </c>
      <c r="H163" s="1" t="n">
        <v>20</v>
      </c>
      <c r="I163" s="1" t="n">
        <v>91</v>
      </c>
      <c r="J163" s="1" t="n">
        <v>4.36</v>
      </c>
      <c r="K163" s="1" t="n">
        <v>0</v>
      </c>
      <c r="L163" s="1" t="n">
        <v>4.2</v>
      </c>
      <c r="M163" s="1" t="n">
        <v>778298.88</v>
      </c>
      <c r="N163" s="1" t="n">
        <v>130076.72</v>
      </c>
    </row>
    <row r="164" customFormat="false" ht="15" hidden="false" customHeight="true" outlineLevel="0" collapsed="false">
      <c r="A164" s="1" t="s">
        <v>62</v>
      </c>
      <c r="B164" s="3" t="n">
        <v>45717</v>
      </c>
      <c r="C164" s="1" t="s">
        <v>24</v>
      </c>
      <c r="D164" s="1" t="s">
        <v>18</v>
      </c>
      <c r="E164" s="1" t="n">
        <v>57143.3</v>
      </c>
      <c r="F164" s="1" t="n">
        <v>8038</v>
      </c>
      <c r="G164" s="1" t="n">
        <v>0.193</v>
      </c>
      <c r="H164" s="1" t="n">
        <v>17</v>
      </c>
      <c r="I164" s="1" t="n">
        <v>72.6</v>
      </c>
      <c r="K164" s="1" t="n">
        <v>0</v>
      </c>
      <c r="L164" s="1" t="n">
        <v>4.2</v>
      </c>
      <c r="M164" s="1" t="n">
        <v>677096.71</v>
      </c>
      <c r="N164" s="1" t="n">
        <v>97174.11</v>
      </c>
    </row>
    <row r="165" customFormat="false" ht="15" hidden="false" customHeight="true" outlineLevel="0" collapsed="false">
      <c r="A165" s="1" t="s">
        <v>62</v>
      </c>
      <c r="B165" s="3" t="n">
        <v>45748</v>
      </c>
      <c r="C165" s="1" t="s">
        <v>24</v>
      </c>
      <c r="D165" s="1" t="s">
        <v>18</v>
      </c>
      <c r="E165" s="1" t="n">
        <v>66870.62</v>
      </c>
      <c r="F165" s="1" t="n">
        <v>6055</v>
      </c>
      <c r="G165" s="1" t="n">
        <v>0.075</v>
      </c>
      <c r="H165" s="1" t="n">
        <v>19</v>
      </c>
      <c r="I165" s="1" t="n">
        <v>93.8</v>
      </c>
      <c r="J165" s="1" t="n">
        <v>0.54</v>
      </c>
      <c r="K165" s="1" t="n">
        <v>0</v>
      </c>
      <c r="L165" s="1" t="n">
        <v>4.3</v>
      </c>
      <c r="M165" s="1" t="n">
        <v>692008.64</v>
      </c>
      <c r="N165" s="1" t="n">
        <v>116337.87</v>
      </c>
    </row>
    <row r="166" customFormat="false" ht="15" hidden="false" customHeight="true" outlineLevel="0" collapsed="false">
      <c r="A166" s="1" t="s">
        <v>63</v>
      </c>
      <c r="B166" s="3" t="n">
        <v>45658</v>
      </c>
      <c r="C166" s="1" t="s">
        <v>20</v>
      </c>
      <c r="D166" s="1" t="s">
        <v>28</v>
      </c>
      <c r="E166" s="1" t="n">
        <v>72150.53</v>
      </c>
      <c r="F166" s="1" t="n">
        <v>9323</v>
      </c>
      <c r="G166" s="1" t="n">
        <v>0.157</v>
      </c>
      <c r="H166" s="1" t="n">
        <v>22</v>
      </c>
      <c r="I166" s="1" t="n">
        <v>82.9</v>
      </c>
      <c r="J166" s="1" t="n">
        <v>11.37</v>
      </c>
      <c r="K166" s="1" t="n">
        <v>1</v>
      </c>
      <c r="L166" s="1" t="n">
        <v>4.3</v>
      </c>
      <c r="M166" s="1" t="n">
        <v>825797.91</v>
      </c>
      <c r="N166" s="1" t="n">
        <v>130945.24</v>
      </c>
    </row>
    <row r="167" customFormat="false" ht="15" hidden="false" customHeight="true" outlineLevel="0" collapsed="false">
      <c r="A167" s="1" t="s">
        <v>63</v>
      </c>
      <c r="B167" s="3" t="n">
        <v>45689</v>
      </c>
      <c r="C167" s="1" t="s">
        <v>20</v>
      </c>
      <c r="D167" s="1" t="s">
        <v>28</v>
      </c>
      <c r="E167" s="1" t="n">
        <v>35303.3</v>
      </c>
      <c r="F167" s="1" t="n">
        <v>8789</v>
      </c>
      <c r="G167" s="1" t="n">
        <v>0.123</v>
      </c>
      <c r="H167" s="1" t="n">
        <v>22</v>
      </c>
      <c r="I167" s="1" t="n">
        <v>86.1</v>
      </c>
      <c r="J167" s="1" t="n">
        <v>9.43</v>
      </c>
      <c r="K167" s="1" t="n">
        <v>0</v>
      </c>
      <c r="L167" s="1" t="n">
        <v>4.2</v>
      </c>
      <c r="M167" s="1" t="n">
        <v>706285.52</v>
      </c>
      <c r="N167" s="1" t="n">
        <v>138014.72</v>
      </c>
    </row>
    <row r="168" customFormat="false" ht="15" hidden="false" customHeight="true" outlineLevel="0" collapsed="false">
      <c r="A168" s="1" t="s">
        <v>63</v>
      </c>
      <c r="B168" s="3" t="n">
        <v>45717</v>
      </c>
      <c r="C168" s="1" t="s">
        <v>20</v>
      </c>
      <c r="D168" s="1" t="s">
        <v>28</v>
      </c>
      <c r="E168" s="1" t="n">
        <v>30301.86</v>
      </c>
      <c r="F168" s="1" t="n">
        <v>6939</v>
      </c>
      <c r="G168" s="1" t="n">
        <v>0.09</v>
      </c>
      <c r="H168" s="1" t="n">
        <v>16</v>
      </c>
      <c r="I168" s="1" t="n">
        <v>90.3</v>
      </c>
      <c r="J168" s="1" t="n">
        <v>3.49</v>
      </c>
      <c r="K168" s="1" t="n">
        <v>0</v>
      </c>
      <c r="L168" s="1" t="n">
        <v>4</v>
      </c>
      <c r="M168" s="1" t="n">
        <v>665534.7</v>
      </c>
      <c r="N168" s="1" t="n">
        <v>113167.73</v>
      </c>
    </row>
    <row r="169" customFormat="false" ht="15" hidden="false" customHeight="true" outlineLevel="0" collapsed="false">
      <c r="A169" s="1" t="s">
        <v>63</v>
      </c>
      <c r="B169" s="3" t="n">
        <v>45748</v>
      </c>
      <c r="C169" s="1" t="s">
        <v>20</v>
      </c>
      <c r="D169" s="1" t="s">
        <v>28</v>
      </c>
      <c r="E169" s="1" t="n">
        <v>78432.14</v>
      </c>
      <c r="F169" s="1" t="n">
        <v>9440</v>
      </c>
      <c r="G169" s="1" t="n">
        <v>0.126</v>
      </c>
      <c r="H169" s="1" t="n">
        <v>23</v>
      </c>
      <c r="I169" s="1" t="n">
        <v>89.2</v>
      </c>
      <c r="J169" s="1" t="n">
        <v>7.86</v>
      </c>
      <c r="K169" s="1" t="n">
        <v>0</v>
      </c>
      <c r="L169" s="1" t="n">
        <v>4.1</v>
      </c>
      <c r="M169" s="1" t="n">
        <v>820729.29</v>
      </c>
      <c r="N169" s="1" t="n">
        <v>159325.47</v>
      </c>
    </row>
    <row r="170" customFormat="false" ht="15" hidden="false" customHeight="true" outlineLevel="0" collapsed="false">
      <c r="A170" s="1" t="s">
        <v>64</v>
      </c>
      <c r="B170" s="3" t="n">
        <v>45658</v>
      </c>
      <c r="C170" s="1" t="s">
        <v>15</v>
      </c>
      <c r="D170" s="1" t="s">
        <v>16</v>
      </c>
      <c r="E170" s="1" t="n">
        <v>62059.18</v>
      </c>
      <c r="F170" s="1" t="n">
        <v>9374</v>
      </c>
      <c r="G170" s="1" t="n">
        <v>0.136</v>
      </c>
      <c r="H170" s="1" t="n">
        <v>25</v>
      </c>
      <c r="I170" s="1" t="n">
        <v>87.1</v>
      </c>
      <c r="J170" s="1" t="n">
        <v>12.55</v>
      </c>
      <c r="K170" s="1" t="n">
        <v>0</v>
      </c>
      <c r="L170" s="1" t="n">
        <v>4.9</v>
      </c>
      <c r="M170" s="1" t="n">
        <v>739831.73</v>
      </c>
      <c r="N170" s="1" t="n">
        <v>119490.21</v>
      </c>
    </row>
    <row r="171" customFormat="false" ht="15" hidden="false" customHeight="true" outlineLevel="0" collapsed="false">
      <c r="A171" s="1" t="s">
        <v>64</v>
      </c>
      <c r="B171" s="3" t="n">
        <v>45689</v>
      </c>
      <c r="C171" s="1" t="s">
        <v>15</v>
      </c>
      <c r="D171" s="1" t="s">
        <v>16</v>
      </c>
      <c r="E171" s="1" t="n">
        <v>32834.48</v>
      </c>
      <c r="F171" s="1" t="n">
        <v>7576</v>
      </c>
      <c r="G171" s="1" t="n">
        <v>0.099</v>
      </c>
      <c r="H171" s="1" t="n">
        <v>15</v>
      </c>
      <c r="I171" s="1" t="n">
        <v>84.1</v>
      </c>
      <c r="J171" s="1" t="n">
        <v>3.48</v>
      </c>
      <c r="K171" s="1" t="n">
        <v>0</v>
      </c>
      <c r="L171" s="1" t="n">
        <v>5</v>
      </c>
      <c r="M171" s="1" t="n">
        <v>593637.14</v>
      </c>
      <c r="N171" s="1" t="n">
        <v>106648.14</v>
      </c>
    </row>
    <row r="172" customFormat="false" ht="15" hidden="false" customHeight="true" outlineLevel="0" collapsed="false">
      <c r="A172" s="1" t="s">
        <v>64</v>
      </c>
      <c r="B172" s="3" t="n">
        <v>45717</v>
      </c>
      <c r="C172" s="1" t="s">
        <v>15</v>
      </c>
      <c r="D172" s="1" t="s">
        <v>16</v>
      </c>
      <c r="E172" s="1" t="n">
        <v>50825.08</v>
      </c>
      <c r="F172" s="1" t="n">
        <v>8949</v>
      </c>
      <c r="G172" s="1" t="n">
        <v>0.157</v>
      </c>
      <c r="H172" s="1" t="n">
        <v>21</v>
      </c>
      <c r="I172" s="1" t="n">
        <v>84.7</v>
      </c>
      <c r="J172" s="1" t="n">
        <v>7.73</v>
      </c>
      <c r="K172" s="1" t="n">
        <v>0</v>
      </c>
      <c r="L172" s="1" t="n">
        <v>4.9</v>
      </c>
      <c r="M172" s="1" t="n">
        <v>769702.76</v>
      </c>
      <c r="N172" s="1" t="n">
        <v>158697</v>
      </c>
    </row>
    <row r="173" customFormat="false" ht="15" hidden="false" customHeight="true" outlineLevel="0" collapsed="false">
      <c r="A173" s="1" t="s">
        <v>64</v>
      </c>
      <c r="B173" s="3" t="n">
        <v>45748</v>
      </c>
      <c r="C173" s="1" t="s">
        <v>15</v>
      </c>
      <c r="D173" s="1" t="s">
        <v>16</v>
      </c>
      <c r="E173" s="1" t="n">
        <v>36606.51</v>
      </c>
      <c r="F173" s="1" t="n">
        <v>7671</v>
      </c>
      <c r="G173" s="1" t="n">
        <v>0.118</v>
      </c>
      <c r="H173" s="1" t="n">
        <v>18</v>
      </c>
      <c r="I173" s="1" t="n">
        <v>89.8</v>
      </c>
      <c r="J173" s="1" t="n">
        <v>0.25</v>
      </c>
      <c r="K173" s="1" t="n">
        <v>0</v>
      </c>
      <c r="L173" s="1" t="n">
        <v>4.4</v>
      </c>
      <c r="M173" s="1" t="n">
        <v>679731.57</v>
      </c>
      <c r="N173" s="1" t="n">
        <v>121546.42</v>
      </c>
    </row>
    <row r="174" customFormat="false" ht="15" hidden="false" customHeight="true" outlineLevel="0" collapsed="false">
      <c r="A174" s="1" t="s">
        <v>65</v>
      </c>
      <c r="B174" s="3" t="n">
        <v>45658</v>
      </c>
      <c r="C174" s="1" t="s">
        <v>15</v>
      </c>
      <c r="D174" s="1" t="s">
        <v>16</v>
      </c>
      <c r="E174" s="1" t="n">
        <v>65237.79</v>
      </c>
      <c r="F174" s="1" t="n">
        <v>8741</v>
      </c>
      <c r="G174" s="1" t="n">
        <v>0.157</v>
      </c>
      <c r="H174" s="1" t="n">
        <v>20</v>
      </c>
      <c r="I174" s="1" t="n">
        <v>94.4</v>
      </c>
      <c r="J174" s="1" t="n">
        <v>6.43</v>
      </c>
      <c r="K174" s="1" t="n">
        <v>0</v>
      </c>
      <c r="L174" s="1" t="n">
        <v>3.3</v>
      </c>
      <c r="M174" s="1" t="n">
        <v>780344.18</v>
      </c>
      <c r="N174" s="1" t="n">
        <v>118239.09</v>
      </c>
    </row>
    <row r="175" customFormat="false" ht="15" hidden="false" customHeight="true" outlineLevel="0" collapsed="false">
      <c r="A175" s="1" t="s">
        <v>65</v>
      </c>
      <c r="B175" s="3" t="n">
        <v>45689</v>
      </c>
      <c r="C175" s="1" t="s">
        <v>15</v>
      </c>
      <c r="D175" s="1" t="s">
        <v>16</v>
      </c>
      <c r="E175" s="1" t="n">
        <v>43645.98</v>
      </c>
      <c r="F175" s="1" t="n">
        <v>9480</v>
      </c>
      <c r="G175" s="1" t="n">
        <v>0.109</v>
      </c>
      <c r="H175" s="1" t="n">
        <v>22</v>
      </c>
      <c r="I175" s="1" t="n">
        <v>89</v>
      </c>
      <c r="J175" s="1" t="n">
        <v>2.11</v>
      </c>
      <c r="K175" s="1" t="n">
        <v>0</v>
      </c>
      <c r="L175" s="1" t="n">
        <v>3.1</v>
      </c>
      <c r="M175" s="1" t="n">
        <v>721364.11</v>
      </c>
      <c r="N175" s="1" t="n">
        <v>147272.81</v>
      </c>
    </row>
    <row r="176" customFormat="false" ht="15" hidden="false" customHeight="true" outlineLevel="0" collapsed="false">
      <c r="A176" s="1" t="s">
        <v>65</v>
      </c>
      <c r="B176" s="3" t="n">
        <v>45717</v>
      </c>
      <c r="C176" s="1" t="s">
        <v>15</v>
      </c>
      <c r="D176" s="1" t="s">
        <v>16</v>
      </c>
      <c r="E176" s="1" t="n">
        <v>68040.15</v>
      </c>
      <c r="F176" s="1" t="n">
        <v>9826</v>
      </c>
      <c r="G176" s="1" t="n">
        <v>0.125</v>
      </c>
      <c r="H176" s="1" t="n">
        <v>20</v>
      </c>
      <c r="I176" s="1" t="n">
        <v>83.9</v>
      </c>
      <c r="J176" s="1" t="n">
        <v>9.12</v>
      </c>
      <c r="K176" s="1" t="n">
        <v>0</v>
      </c>
      <c r="L176" s="1" t="n">
        <v>3.6</v>
      </c>
      <c r="M176" s="1" t="n">
        <v>758138.29</v>
      </c>
      <c r="N176" s="1" t="n">
        <v>132975.26</v>
      </c>
    </row>
    <row r="177" customFormat="false" ht="15" hidden="false" customHeight="true" outlineLevel="0" collapsed="false">
      <c r="A177" s="1" t="s">
        <v>65</v>
      </c>
      <c r="B177" s="3" t="n">
        <v>45748</v>
      </c>
      <c r="C177" s="1" t="s">
        <v>15</v>
      </c>
      <c r="D177" s="1" t="s">
        <v>16</v>
      </c>
      <c r="E177" s="1" t="n">
        <v>63043.94</v>
      </c>
      <c r="F177" s="1" t="n">
        <v>10402</v>
      </c>
      <c r="G177" s="1" t="n">
        <v>0.159</v>
      </c>
      <c r="H177" s="1" t="n">
        <v>23</v>
      </c>
      <c r="I177" s="1" t="n">
        <v>93.9</v>
      </c>
      <c r="J177" s="1" t="n">
        <v>2.71</v>
      </c>
      <c r="K177" s="1" t="n">
        <v>0</v>
      </c>
      <c r="L177" s="1" t="n">
        <v>3.1</v>
      </c>
      <c r="M177" s="1" t="n">
        <v>804264</v>
      </c>
      <c r="N177" s="1" t="n">
        <v>167117.91</v>
      </c>
    </row>
    <row r="178" customFormat="false" ht="15" hidden="false" customHeight="true" outlineLevel="0" collapsed="false">
      <c r="A178" s="1" t="s">
        <v>66</v>
      </c>
      <c r="B178" s="3" t="n">
        <v>45658</v>
      </c>
      <c r="C178" s="1" t="s">
        <v>27</v>
      </c>
      <c r="D178" s="1" t="s">
        <v>21</v>
      </c>
      <c r="E178" s="1" t="n">
        <v>67494.09</v>
      </c>
      <c r="F178" s="1" t="n">
        <v>12361</v>
      </c>
      <c r="G178" s="1" t="n">
        <v>0.046</v>
      </c>
      <c r="H178" s="1" t="n">
        <v>24</v>
      </c>
      <c r="I178" s="1" t="n">
        <v>76.6</v>
      </c>
      <c r="J178" s="1" t="n">
        <v>3.65</v>
      </c>
      <c r="K178" s="1" t="n">
        <v>1</v>
      </c>
      <c r="L178" s="1" t="n">
        <v>3.7</v>
      </c>
      <c r="M178" s="1" t="n">
        <v>887537.75</v>
      </c>
      <c r="N178" s="1" t="n">
        <v>160362.92</v>
      </c>
    </row>
    <row r="179" customFormat="false" ht="15" hidden="false" customHeight="true" outlineLevel="0" collapsed="false">
      <c r="A179" s="1" t="s">
        <v>66</v>
      </c>
      <c r="B179" s="3" t="n">
        <v>45689</v>
      </c>
      <c r="C179" s="1" t="s">
        <v>27</v>
      </c>
      <c r="D179" s="1" t="s">
        <v>21</v>
      </c>
      <c r="E179" s="1" t="n">
        <v>29389.32</v>
      </c>
      <c r="F179" s="1" t="n">
        <v>7925</v>
      </c>
      <c r="G179" s="1" t="n">
        <v>0.177</v>
      </c>
      <c r="H179" s="1" t="n">
        <v>21</v>
      </c>
      <c r="I179" s="1" t="n">
        <v>90.9</v>
      </c>
      <c r="J179" s="1" t="n">
        <v>7.86</v>
      </c>
      <c r="K179" s="1" t="n">
        <v>0</v>
      </c>
      <c r="L179" s="1" t="n">
        <v>4</v>
      </c>
      <c r="M179" s="1" t="n">
        <v>783582</v>
      </c>
      <c r="N179" s="1" t="n">
        <v>130670.93</v>
      </c>
    </row>
    <row r="180" customFormat="false" ht="15" hidden="false" customHeight="true" outlineLevel="0" collapsed="false">
      <c r="A180" s="1" t="s">
        <v>66</v>
      </c>
      <c r="B180" s="3" t="n">
        <v>45717</v>
      </c>
      <c r="C180" s="1" t="s">
        <v>27</v>
      </c>
      <c r="D180" s="1" t="s">
        <v>21</v>
      </c>
      <c r="E180" s="1" t="n">
        <v>40535.09</v>
      </c>
      <c r="F180" s="1" t="n">
        <v>8870</v>
      </c>
      <c r="G180" s="1" t="n">
        <v>0.041</v>
      </c>
      <c r="H180" s="1" t="n">
        <v>21</v>
      </c>
      <c r="I180" s="1" t="n">
        <v>86.6</v>
      </c>
      <c r="J180" s="1" t="n">
        <v>0.3</v>
      </c>
      <c r="K180" s="1" t="n">
        <v>0</v>
      </c>
      <c r="L180" s="1" t="n">
        <v>4.1</v>
      </c>
      <c r="M180" s="1" t="n">
        <v>781955.52</v>
      </c>
      <c r="N180" s="1" t="n">
        <v>152578.71</v>
      </c>
    </row>
    <row r="181" customFormat="false" ht="15" hidden="false" customHeight="true" outlineLevel="0" collapsed="false">
      <c r="A181" s="1" t="s">
        <v>66</v>
      </c>
      <c r="B181" s="3" t="n">
        <v>45748</v>
      </c>
      <c r="C181" s="1" t="s">
        <v>27</v>
      </c>
      <c r="D181" s="1" t="s">
        <v>21</v>
      </c>
      <c r="E181" s="1" t="n">
        <v>74881.56</v>
      </c>
      <c r="F181" s="1" t="n">
        <v>9999</v>
      </c>
      <c r="G181" s="1" t="n">
        <v>0.013</v>
      </c>
      <c r="H181" s="1" t="n">
        <v>20</v>
      </c>
      <c r="I181" s="1" t="n">
        <v>89.6</v>
      </c>
      <c r="J181" s="1" t="n">
        <v>8.44</v>
      </c>
      <c r="K181" s="1" t="n">
        <v>0</v>
      </c>
      <c r="L181" s="1" t="n">
        <v>4.1</v>
      </c>
      <c r="M181" s="1" t="n">
        <v>898031.04</v>
      </c>
      <c r="N181" s="1" t="n">
        <v>138666.5</v>
      </c>
    </row>
    <row r="182" customFormat="false" ht="15" hidden="false" customHeight="true" outlineLevel="0" collapsed="false">
      <c r="A182" s="1" t="s">
        <v>67</v>
      </c>
      <c r="B182" s="3" t="n">
        <v>45658</v>
      </c>
      <c r="C182" s="1" t="s">
        <v>27</v>
      </c>
      <c r="D182" s="1" t="s">
        <v>16</v>
      </c>
      <c r="E182" s="1" t="n">
        <v>68491.11</v>
      </c>
      <c r="F182" s="1" t="n">
        <v>11154</v>
      </c>
      <c r="G182" s="1" t="n">
        <v>0.001</v>
      </c>
      <c r="H182" s="1" t="n">
        <v>24</v>
      </c>
      <c r="I182" s="1" t="n">
        <v>89.4</v>
      </c>
      <c r="J182" s="1" t="n">
        <v>5.27</v>
      </c>
      <c r="K182" s="1" t="n">
        <v>1</v>
      </c>
      <c r="L182" s="1" t="n">
        <v>3.9</v>
      </c>
      <c r="M182" s="1" t="n">
        <v>855341.28</v>
      </c>
      <c r="N182" s="1" t="n">
        <v>175823.8</v>
      </c>
    </row>
    <row r="183" customFormat="false" ht="15" hidden="false" customHeight="true" outlineLevel="0" collapsed="false">
      <c r="A183" s="1" t="s">
        <v>67</v>
      </c>
      <c r="B183" s="3" t="n">
        <v>45689</v>
      </c>
      <c r="C183" s="1" t="s">
        <v>27</v>
      </c>
      <c r="D183" s="1" t="s">
        <v>16</v>
      </c>
      <c r="E183" s="1" t="n">
        <v>45209.25</v>
      </c>
      <c r="F183" s="1" t="n">
        <v>9287</v>
      </c>
      <c r="G183" s="1" t="n">
        <v>0.141</v>
      </c>
      <c r="H183" s="1" t="n">
        <v>22</v>
      </c>
      <c r="I183" s="1" t="n">
        <v>86.4</v>
      </c>
      <c r="J183" s="1" t="n">
        <v>13.22</v>
      </c>
      <c r="K183" s="1" t="n">
        <v>0</v>
      </c>
      <c r="L183" s="1" t="n">
        <v>3.6</v>
      </c>
      <c r="M183" s="1" t="n">
        <v>751393.88</v>
      </c>
      <c r="N183" s="1" t="n">
        <v>91480.32</v>
      </c>
    </row>
    <row r="184" customFormat="false" ht="15" hidden="false" customHeight="true" outlineLevel="0" collapsed="false">
      <c r="A184" s="1" t="s">
        <v>67</v>
      </c>
      <c r="B184" s="3" t="n">
        <v>45717</v>
      </c>
      <c r="C184" s="1" t="s">
        <v>27</v>
      </c>
      <c r="D184" s="1" t="s">
        <v>16</v>
      </c>
      <c r="E184" s="1" t="n">
        <v>63010.23</v>
      </c>
      <c r="F184" s="1" t="n">
        <v>9812</v>
      </c>
      <c r="G184" s="1" t="n">
        <v>0.113</v>
      </c>
      <c r="H184" s="1" t="n">
        <v>24</v>
      </c>
      <c r="I184" s="1" t="n">
        <v>76.8</v>
      </c>
      <c r="J184" s="1" t="n">
        <v>1.02</v>
      </c>
      <c r="K184" s="1" t="n">
        <v>1</v>
      </c>
      <c r="L184" s="1" t="n">
        <v>3.8</v>
      </c>
      <c r="M184" s="1" t="n">
        <v>761077.08</v>
      </c>
      <c r="N184" s="1" t="n">
        <v>113605.93</v>
      </c>
    </row>
    <row r="185" customFormat="false" ht="15" hidden="false" customHeight="true" outlineLevel="0" collapsed="false">
      <c r="A185" s="1" t="s">
        <v>67</v>
      </c>
      <c r="B185" s="3" t="n">
        <v>45748</v>
      </c>
      <c r="C185" s="1" t="s">
        <v>27</v>
      </c>
      <c r="D185" s="1" t="s">
        <v>16</v>
      </c>
      <c r="E185" s="1" t="n">
        <v>57948.88</v>
      </c>
      <c r="F185" s="1" t="n">
        <v>10741</v>
      </c>
      <c r="G185" s="1" t="n">
        <v>0.07</v>
      </c>
      <c r="H185" s="1" t="n">
        <v>25</v>
      </c>
      <c r="I185" s="1" t="n">
        <v>90.1</v>
      </c>
      <c r="J185" s="1" t="n">
        <v>4.03</v>
      </c>
      <c r="K185" s="1" t="n">
        <v>0</v>
      </c>
      <c r="L185" s="1" t="n">
        <v>3.1</v>
      </c>
      <c r="M185" s="1" t="n">
        <v>819660.59</v>
      </c>
      <c r="N185" s="1" t="n">
        <v>172699.95</v>
      </c>
    </row>
    <row r="186" customFormat="false" ht="15" hidden="false" customHeight="true" outlineLevel="0" collapsed="false">
      <c r="A186" s="1" t="s">
        <v>68</v>
      </c>
      <c r="B186" s="3" t="n">
        <v>45658</v>
      </c>
      <c r="C186" s="1" t="s">
        <v>20</v>
      </c>
      <c r="D186" s="1" t="s">
        <v>18</v>
      </c>
      <c r="E186" s="1" t="n">
        <v>71941.62</v>
      </c>
      <c r="F186" s="1" t="n">
        <v>6084</v>
      </c>
      <c r="G186" s="1" t="n">
        <v>0.072</v>
      </c>
      <c r="H186" s="1" t="n">
        <v>13</v>
      </c>
      <c r="I186" s="1" t="n">
        <v>93.7</v>
      </c>
      <c r="J186" s="1" t="n">
        <v>2.34</v>
      </c>
      <c r="K186" s="1" t="n">
        <v>0</v>
      </c>
      <c r="L186" s="1" t="n">
        <v>4.4</v>
      </c>
      <c r="M186" s="1" t="n">
        <v>681855.56</v>
      </c>
      <c r="N186" s="1" t="n">
        <v>117645.61</v>
      </c>
    </row>
    <row r="187" customFormat="false" ht="15" hidden="false" customHeight="true" outlineLevel="0" collapsed="false">
      <c r="A187" s="1" t="s">
        <v>68</v>
      </c>
      <c r="B187" s="3" t="n">
        <v>45689</v>
      </c>
      <c r="C187" s="1" t="s">
        <v>20</v>
      </c>
      <c r="D187" s="1" t="s">
        <v>18</v>
      </c>
      <c r="E187" s="1" t="n">
        <v>57147.88</v>
      </c>
      <c r="F187" s="1" t="n">
        <v>5252</v>
      </c>
      <c r="G187" s="1" t="n">
        <v>0.161</v>
      </c>
      <c r="H187" s="1" t="n">
        <v>15</v>
      </c>
      <c r="I187" s="1" t="n">
        <v>95.5</v>
      </c>
      <c r="J187" s="1" t="n">
        <v>8.51</v>
      </c>
      <c r="K187" s="1" t="n">
        <v>0</v>
      </c>
      <c r="L187" s="1" t="n">
        <v>4.4</v>
      </c>
      <c r="M187" s="1" t="n">
        <v>678311.17</v>
      </c>
      <c r="N187" s="1" t="n">
        <v>132029.76</v>
      </c>
    </row>
    <row r="188" customFormat="false" ht="15" hidden="false" customHeight="true" outlineLevel="0" collapsed="false">
      <c r="A188" s="1" t="s">
        <v>68</v>
      </c>
      <c r="B188" s="3" t="n">
        <v>45717</v>
      </c>
      <c r="C188" s="1" t="s">
        <v>20</v>
      </c>
      <c r="D188" s="1" t="s">
        <v>18</v>
      </c>
      <c r="E188" s="1" t="n">
        <v>48031.74</v>
      </c>
      <c r="F188" s="1" t="n">
        <v>6516</v>
      </c>
      <c r="G188" s="1" t="n">
        <v>0.067</v>
      </c>
      <c r="H188" s="1" t="n">
        <v>14</v>
      </c>
      <c r="I188" s="1" t="n">
        <v>99</v>
      </c>
      <c r="J188" s="1" t="n">
        <v>0.48</v>
      </c>
      <c r="K188" s="1" t="n">
        <v>1</v>
      </c>
      <c r="L188" s="1" t="n">
        <v>4.3</v>
      </c>
      <c r="M188" s="1" t="n">
        <v>765906.95</v>
      </c>
      <c r="N188" s="1" t="n">
        <v>114005.9</v>
      </c>
    </row>
    <row r="189" customFormat="false" ht="15" hidden="false" customHeight="true" outlineLevel="0" collapsed="false">
      <c r="A189" s="1" t="s">
        <v>68</v>
      </c>
      <c r="B189" s="3" t="n">
        <v>45748</v>
      </c>
      <c r="C189" s="1" t="s">
        <v>20</v>
      </c>
      <c r="D189" s="1" t="s">
        <v>18</v>
      </c>
      <c r="E189" s="1" t="n">
        <v>72784.8</v>
      </c>
      <c r="F189" s="1" t="n">
        <v>7932</v>
      </c>
      <c r="G189" s="1" t="n">
        <v>0.094</v>
      </c>
      <c r="H189" s="1" t="n">
        <v>20</v>
      </c>
      <c r="I189" s="1" t="n">
        <v>74.9</v>
      </c>
      <c r="J189" s="1" t="n">
        <v>13.62</v>
      </c>
      <c r="K189" s="1" t="n">
        <v>0</v>
      </c>
      <c r="L189" s="1" t="n">
        <v>4.2</v>
      </c>
      <c r="M189" s="1" t="n">
        <v>712546.38</v>
      </c>
      <c r="N189" s="1" t="n">
        <v>101480.04</v>
      </c>
    </row>
    <row r="190" customFormat="false" ht="15" hidden="false" customHeight="true" outlineLevel="0" collapsed="false">
      <c r="A190" s="1" t="s">
        <v>69</v>
      </c>
      <c r="B190" s="3" t="n">
        <v>45658</v>
      </c>
      <c r="C190" s="1" t="s">
        <v>15</v>
      </c>
      <c r="D190" s="1" t="s">
        <v>18</v>
      </c>
      <c r="E190" s="1" t="n">
        <v>71641.9</v>
      </c>
      <c r="F190" s="1" t="n">
        <v>3506</v>
      </c>
      <c r="G190" s="1" t="n">
        <v>0</v>
      </c>
      <c r="H190" s="1" t="n">
        <v>11</v>
      </c>
      <c r="I190" s="1" t="n">
        <v>86.4</v>
      </c>
      <c r="J190" s="1" t="n">
        <v>7.77</v>
      </c>
      <c r="K190" s="1" t="n">
        <v>0</v>
      </c>
      <c r="L190" s="1" t="n">
        <v>4.1</v>
      </c>
      <c r="M190" s="1" t="n">
        <v>625993.83</v>
      </c>
      <c r="N190" s="1" t="n">
        <v>98960.32</v>
      </c>
    </row>
    <row r="191" customFormat="false" ht="15" hidden="false" customHeight="true" outlineLevel="0" collapsed="false">
      <c r="A191" s="1" t="s">
        <v>69</v>
      </c>
      <c r="B191" s="3" t="n">
        <v>45689</v>
      </c>
      <c r="C191" s="1" t="s">
        <v>15</v>
      </c>
      <c r="D191" s="1" t="s">
        <v>18</v>
      </c>
      <c r="E191" s="1" t="n">
        <v>55788.61</v>
      </c>
      <c r="F191" s="1" t="n">
        <v>2312</v>
      </c>
      <c r="G191" s="1" t="n">
        <v>0.058</v>
      </c>
      <c r="H191" s="1" t="n">
        <v>10</v>
      </c>
      <c r="I191" s="1" t="n">
        <v>91.3</v>
      </c>
      <c r="J191" s="1" t="n">
        <v>1.99</v>
      </c>
      <c r="K191" s="1" t="n">
        <v>0</v>
      </c>
      <c r="L191" s="1" t="n">
        <v>3.8</v>
      </c>
      <c r="M191" s="1" t="n">
        <v>550962.93</v>
      </c>
      <c r="N191" s="1" t="n">
        <v>97144.58</v>
      </c>
    </row>
    <row r="192" customFormat="false" ht="15" hidden="false" customHeight="true" outlineLevel="0" collapsed="false">
      <c r="A192" s="1" t="s">
        <v>69</v>
      </c>
      <c r="B192" s="3" t="n">
        <v>45717</v>
      </c>
      <c r="C192" s="1" t="s">
        <v>15</v>
      </c>
      <c r="D192" s="1" t="s">
        <v>18</v>
      </c>
      <c r="E192" s="1" t="n">
        <v>37705.88</v>
      </c>
      <c r="F192" s="1" t="n">
        <v>1268</v>
      </c>
      <c r="G192" s="1" t="n">
        <v>0.259</v>
      </c>
      <c r="H192" s="1" t="n">
        <v>9</v>
      </c>
      <c r="I192" s="1" t="n">
        <v>84.1</v>
      </c>
      <c r="J192" s="1" t="n">
        <v>4.77</v>
      </c>
      <c r="K192" s="1" t="n">
        <v>0</v>
      </c>
      <c r="L192" s="1" t="n">
        <v>3.8</v>
      </c>
      <c r="M192" s="1" t="n">
        <v>443275.59</v>
      </c>
      <c r="N192" s="1" t="n">
        <v>53544.36</v>
      </c>
    </row>
    <row r="193" customFormat="false" ht="15" hidden="false" customHeight="true" outlineLevel="0" collapsed="false">
      <c r="A193" s="1" t="s">
        <v>69</v>
      </c>
      <c r="B193" s="3" t="n">
        <v>45748</v>
      </c>
      <c r="C193" s="1" t="s">
        <v>15</v>
      </c>
      <c r="D193" s="1" t="s">
        <v>18</v>
      </c>
      <c r="E193" s="1" t="n">
        <v>54966.18</v>
      </c>
      <c r="F193" s="1" t="n">
        <v>4423</v>
      </c>
      <c r="G193" s="1" t="n">
        <v>0.186</v>
      </c>
      <c r="H193" s="1" t="n">
        <v>13</v>
      </c>
      <c r="I193" s="1" t="n">
        <v>88.7</v>
      </c>
      <c r="J193" s="1" t="n">
        <v>0.2</v>
      </c>
      <c r="K193" s="1" t="n">
        <v>0</v>
      </c>
      <c r="L193" s="1" t="n">
        <v>4.4</v>
      </c>
      <c r="M193" s="1" t="n">
        <v>554012.07</v>
      </c>
      <c r="N193" s="1" t="n">
        <v>81101.62</v>
      </c>
    </row>
    <row r="194" customFormat="false" ht="15" hidden="false" customHeight="true" outlineLevel="0" collapsed="false">
      <c r="A194" s="1" t="s">
        <v>70</v>
      </c>
      <c r="B194" s="3" t="n">
        <v>45658</v>
      </c>
      <c r="C194" s="1" t="s">
        <v>27</v>
      </c>
      <c r="D194" s="1" t="s">
        <v>16</v>
      </c>
      <c r="E194" s="1" t="n">
        <v>81796.74</v>
      </c>
      <c r="F194" s="1" t="n">
        <v>6177</v>
      </c>
      <c r="G194" s="1" t="n">
        <v>0.164</v>
      </c>
      <c r="H194" s="1" t="n">
        <v>14</v>
      </c>
      <c r="I194" s="1" t="n">
        <v>87.9</v>
      </c>
      <c r="J194" s="1" t="n">
        <v>0.53</v>
      </c>
      <c r="K194" s="1" t="n">
        <v>0</v>
      </c>
      <c r="L194" s="1" t="n">
        <v>3.2</v>
      </c>
      <c r="M194" s="1" t="n">
        <v>643428.85</v>
      </c>
      <c r="N194" s="1" t="n">
        <v>94477.63</v>
      </c>
    </row>
    <row r="195" customFormat="false" ht="15" hidden="false" customHeight="true" outlineLevel="0" collapsed="false">
      <c r="A195" s="1" t="s">
        <v>70</v>
      </c>
      <c r="B195" s="3" t="n">
        <v>45689</v>
      </c>
      <c r="C195" s="1" t="s">
        <v>27</v>
      </c>
      <c r="D195" s="1" t="s">
        <v>16</v>
      </c>
      <c r="E195" s="1" t="n">
        <v>51133.43</v>
      </c>
      <c r="F195" s="1" t="n">
        <v>5150</v>
      </c>
      <c r="G195" s="1" t="n">
        <v>0.15</v>
      </c>
      <c r="H195" s="1" t="n">
        <v>12</v>
      </c>
      <c r="I195" s="1" t="n">
        <v>88.5</v>
      </c>
      <c r="J195" s="1" t="n">
        <v>1.54</v>
      </c>
      <c r="K195" s="1" t="n">
        <v>0</v>
      </c>
      <c r="L195" s="1" t="n">
        <v>3.2</v>
      </c>
      <c r="M195" s="1" t="n">
        <v>611924.27</v>
      </c>
      <c r="N195" s="1" t="n">
        <v>115488.75</v>
      </c>
    </row>
    <row r="196" customFormat="false" ht="15" hidden="false" customHeight="true" outlineLevel="0" collapsed="false">
      <c r="A196" s="1" t="s">
        <v>70</v>
      </c>
      <c r="B196" s="3" t="n">
        <v>45717</v>
      </c>
      <c r="C196" s="1" t="s">
        <v>27</v>
      </c>
      <c r="D196" s="1" t="s">
        <v>16</v>
      </c>
      <c r="E196" s="1" t="n">
        <v>40220.18</v>
      </c>
      <c r="F196" s="1" t="n">
        <v>3783</v>
      </c>
      <c r="G196" s="1" t="n">
        <v>0.089</v>
      </c>
      <c r="H196" s="1" t="n">
        <v>14</v>
      </c>
      <c r="I196" s="1" t="n">
        <v>86.6</v>
      </c>
      <c r="J196" s="1" t="n">
        <v>3.63</v>
      </c>
      <c r="K196" s="1" t="n">
        <v>0</v>
      </c>
      <c r="L196" s="1" t="n">
        <v>3.7</v>
      </c>
      <c r="M196" s="1" t="n">
        <v>559422.02</v>
      </c>
      <c r="N196" s="1" t="n">
        <v>73528.74</v>
      </c>
    </row>
    <row r="197" customFormat="false" ht="15" hidden="false" customHeight="true" outlineLevel="0" collapsed="false">
      <c r="A197" s="1" t="s">
        <v>70</v>
      </c>
      <c r="B197" s="3" t="n">
        <v>45748</v>
      </c>
      <c r="C197" s="1" t="s">
        <v>27</v>
      </c>
      <c r="D197" s="1" t="s">
        <v>16</v>
      </c>
      <c r="E197" s="1" t="n">
        <v>41657.64</v>
      </c>
      <c r="F197" s="1" t="n">
        <v>3135</v>
      </c>
      <c r="G197" s="1" t="n">
        <v>0.229</v>
      </c>
      <c r="H197" s="1" t="n">
        <v>7</v>
      </c>
      <c r="I197" s="1" t="n">
        <v>85.4</v>
      </c>
      <c r="J197" s="1" t="n">
        <v>13.48</v>
      </c>
      <c r="K197" s="1" t="n">
        <v>0</v>
      </c>
      <c r="M197" s="1" t="n">
        <v>449465.06</v>
      </c>
      <c r="N197" s="1" t="n">
        <v>65694.78</v>
      </c>
    </row>
    <row r="198" customFormat="false" ht="15" hidden="false" customHeight="true" outlineLevel="0" collapsed="false">
      <c r="A198" s="1" t="s">
        <v>71</v>
      </c>
      <c r="B198" s="3" t="n">
        <v>45658</v>
      </c>
      <c r="C198" s="1" t="s">
        <v>20</v>
      </c>
      <c r="D198" s="1" t="s">
        <v>16</v>
      </c>
      <c r="E198" s="1" t="n">
        <v>71851.45</v>
      </c>
      <c r="F198" s="1" t="n">
        <v>4970</v>
      </c>
      <c r="G198" s="1" t="n">
        <v>0.098</v>
      </c>
      <c r="H198" s="1" t="n">
        <v>11</v>
      </c>
      <c r="I198" s="1" t="n">
        <v>89.6</v>
      </c>
      <c r="J198" s="1" t="n">
        <v>0.2</v>
      </c>
      <c r="K198" s="1" t="n">
        <v>0</v>
      </c>
      <c r="L198" s="1" t="n">
        <v>4.2</v>
      </c>
      <c r="M198" s="1" t="n">
        <v>691447.43</v>
      </c>
      <c r="N198" s="1" t="n">
        <v>114077.69</v>
      </c>
    </row>
    <row r="199" customFormat="false" ht="15" hidden="false" customHeight="true" outlineLevel="0" collapsed="false">
      <c r="A199" s="1" t="s">
        <v>71</v>
      </c>
      <c r="B199" s="3" t="n">
        <v>45689</v>
      </c>
      <c r="C199" s="1" t="s">
        <v>20</v>
      </c>
      <c r="D199" s="1" t="s">
        <v>16</v>
      </c>
      <c r="E199" s="1" t="n">
        <v>54002.83</v>
      </c>
      <c r="F199" s="1" t="n">
        <v>4366</v>
      </c>
      <c r="G199" s="1" t="n">
        <v>0.027</v>
      </c>
      <c r="H199" s="1" t="n">
        <v>15</v>
      </c>
      <c r="I199" s="1" t="n">
        <v>90.6</v>
      </c>
      <c r="J199" s="1" t="n">
        <v>12.82</v>
      </c>
      <c r="K199" s="1" t="n">
        <v>0</v>
      </c>
      <c r="L199" s="1" t="n">
        <v>4.6</v>
      </c>
      <c r="M199" s="1" t="n">
        <v>574066.61</v>
      </c>
      <c r="N199" s="1" t="n">
        <v>124674.67</v>
      </c>
    </row>
    <row r="200" customFormat="false" ht="15" hidden="false" customHeight="true" outlineLevel="0" collapsed="false">
      <c r="A200" s="1" t="s">
        <v>71</v>
      </c>
      <c r="B200" s="3" t="n">
        <v>45717</v>
      </c>
      <c r="C200" s="1" t="s">
        <v>20</v>
      </c>
      <c r="D200" s="1" t="s">
        <v>16</v>
      </c>
      <c r="E200" s="1" t="n">
        <v>54479.33</v>
      </c>
      <c r="F200" s="1" t="n">
        <v>5012</v>
      </c>
      <c r="G200" s="1" t="n">
        <v>0.284</v>
      </c>
      <c r="H200" s="1" t="n">
        <v>13</v>
      </c>
      <c r="I200" s="1" t="n">
        <v>86</v>
      </c>
      <c r="J200" s="1" t="n">
        <v>2.24</v>
      </c>
      <c r="K200" s="1" t="n">
        <v>1</v>
      </c>
      <c r="L200" s="1" t="n">
        <v>4.3</v>
      </c>
      <c r="M200" s="1" t="n">
        <v>578949.84</v>
      </c>
      <c r="N200" s="1" t="n">
        <v>80253.65</v>
      </c>
    </row>
    <row r="201" customFormat="false" ht="15" hidden="false" customHeight="true" outlineLevel="0" collapsed="false">
      <c r="A201" s="1" t="s">
        <v>71</v>
      </c>
      <c r="B201" s="3" t="n">
        <v>45748</v>
      </c>
      <c r="C201" s="1" t="s">
        <v>20</v>
      </c>
      <c r="D201" s="1" t="s">
        <v>16</v>
      </c>
      <c r="E201" s="1" t="n">
        <v>61391.8</v>
      </c>
      <c r="F201" s="1" t="n">
        <v>5575</v>
      </c>
      <c r="G201" s="1" t="n">
        <v>0.189</v>
      </c>
      <c r="H201" s="1" t="n">
        <v>18</v>
      </c>
      <c r="I201" s="1" t="n">
        <v>90</v>
      </c>
      <c r="J201" s="1" t="n">
        <v>1.8</v>
      </c>
      <c r="K201" s="1" t="n">
        <v>0</v>
      </c>
      <c r="L201" s="1" t="n">
        <v>4.8</v>
      </c>
      <c r="M201" s="1" t="n">
        <v>735786.64</v>
      </c>
      <c r="N201" s="1" t="n">
        <v>126540.66</v>
      </c>
    </row>
    <row r="202" customFormat="false" ht="15" hidden="false" customHeight="true" outlineLevel="0" collapsed="false">
      <c r="A202" s="1" t="s">
        <v>72</v>
      </c>
      <c r="B202" s="3" t="n">
        <v>45658</v>
      </c>
      <c r="C202" s="1" t="s">
        <v>15</v>
      </c>
      <c r="D202" s="1" t="s">
        <v>21</v>
      </c>
      <c r="E202" s="1" t="n">
        <v>22312.93</v>
      </c>
      <c r="F202" s="1" t="n">
        <v>5955</v>
      </c>
      <c r="G202" s="1" t="n">
        <v>0.123</v>
      </c>
      <c r="H202" s="1" t="n">
        <v>13</v>
      </c>
      <c r="I202" s="1" t="n">
        <v>84.2</v>
      </c>
      <c r="J202" s="1" t="n">
        <v>0.41</v>
      </c>
      <c r="K202" s="1" t="n">
        <v>1</v>
      </c>
      <c r="L202" s="1" t="n">
        <v>4.6</v>
      </c>
      <c r="M202" s="1" t="n">
        <v>598904.9</v>
      </c>
      <c r="N202" s="1" t="n">
        <v>72861</v>
      </c>
    </row>
    <row r="203" customFormat="false" ht="15" hidden="false" customHeight="true" outlineLevel="0" collapsed="false">
      <c r="A203" s="1" t="s">
        <v>72</v>
      </c>
      <c r="B203" s="3" t="n">
        <v>45689</v>
      </c>
      <c r="C203" s="1" t="s">
        <v>15</v>
      </c>
      <c r="D203" s="1" t="s">
        <v>21</v>
      </c>
      <c r="E203" s="1" t="n">
        <v>78111.97</v>
      </c>
      <c r="F203" s="1" t="n">
        <v>6389</v>
      </c>
      <c r="G203" s="1" t="n">
        <v>0.15</v>
      </c>
      <c r="H203" s="1" t="n">
        <v>13</v>
      </c>
      <c r="I203" s="1" t="n">
        <v>83.9</v>
      </c>
      <c r="J203" s="1" t="n">
        <v>3.05</v>
      </c>
      <c r="K203" s="1" t="n">
        <v>0</v>
      </c>
      <c r="L203" s="1" t="n">
        <v>4.8</v>
      </c>
      <c r="M203" s="1" t="n">
        <v>787715.51</v>
      </c>
      <c r="N203" s="1" t="n">
        <v>128969.62</v>
      </c>
    </row>
    <row r="204" customFormat="false" ht="15" hidden="false" customHeight="true" outlineLevel="0" collapsed="false">
      <c r="A204" s="1" t="s">
        <v>72</v>
      </c>
      <c r="B204" s="3" t="n">
        <v>45717</v>
      </c>
      <c r="C204" s="1" t="s">
        <v>15</v>
      </c>
      <c r="D204" s="1" t="s">
        <v>21</v>
      </c>
      <c r="E204" s="1" t="n">
        <v>35203.23</v>
      </c>
      <c r="F204" s="1" t="n">
        <v>6896</v>
      </c>
      <c r="G204" s="1" t="n">
        <v>0.032</v>
      </c>
      <c r="H204" s="1" t="n">
        <v>14</v>
      </c>
      <c r="I204" s="1" t="n">
        <v>80.8</v>
      </c>
      <c r="J204" s="1" t="n">
        <v>8.44</v>
      </c>
      <c r="K204" s="1" t="n">
        <v>1</v>
      </c>
      <c r="L204" s="1" t="n">
        <v>5</v>
      </c>
      <c r="M204" s="1" t="n">
        <v>607084.92</v>
      </c>
      <c r="N204" s="1" t="n">
        <v>98558.49</v>
      </c>
    </row>
    <row r="205" customFormat="false" ht="15" hidden="false" customHeight="true" outlineLevel="0" collapsed="false">
      <c r="A205" s="1" t="s">
        <v>72</v>
      </c>
      <c r="B205" s="3" t="n">
        <v>45748</v>
      </c>
      <c r="C205" s="1" t="s">
        <v>15</v>
      </c>
      <c r="D205" s="1" t="s">
        <v>21</v>
      </c>
      <c r="E205" s="1" t="n">
        <v>64104.28</v>
      </c>
      <c r="F205" s="1" t="n">
        <v>6015</v>
      </c>
      <c r="G205" s="1" t="n">
        <v>0.127</v>
      </c>
      <c r="H205" s="1" t="n">
        <v>15</v>
      </c>
      <c r="I205" s="1" t="n">
        <v>88.7</v>
      </c>
      <c r="J205" s="1" t="n">
        <v>0.78</v>
      </c>
      <c r="K205" s="1" t="n">
        <v>0</v>
      </c>
      <c r="L205" s="1" t="n">
        <v>4</v>
      </c>
      <c r="M205" s="1" t="n">
        <v>650795.49</v>
      </c>
      <c r="N205" s="1" t="n">
        <v>103035.89</v>
      </c>
    </row>
    <row r="206" customFormat="false" ht="15" hidden="false" customHeight="true" outlineLevel="0" collapsed="false">
      <c r="A206" s="1" t="s">
        <v>73</v>
      </c>
      <c r="B206" s="3" t="n">
        <v>45658</v>
      </c>
      <c r="C206" s="1" t="s">
        <v>15</v>
      </c>
      <c r="D206" s="1" t="s">
        <v>28</v>
      </c>
      <c r="E206" s="1" t="n">
        <v>92090.14</v>
      </c>
      <c r="F206" s="1" t="n">
        <v>9476</v>
      </c>
      <c r="G206" s="1" t="n">
        <v>0.07</v>
      </c>
      <c r="H206" s="1" t="n">
        <v>24</v>
      </c>
      <c r="I206" s="1" t="n">
        <v>94.3</v>
      </c>
      <c r="J206" s="1" t="n">
        <v>0.87</v>
      </c>
      <c r="K206" s="1" t="n">
        <v>0</v>
      </c>
      <c r="L206" s="1" t="n">
        <v>3.7</v>
      </c>
      <c r="M206" s="1" t="n">
        <v>825060.52</v>
      </c>
      <c r="N206" s="1" t="n">
        <v>143613.15</v>
      </c>
    </row>
    <row r="207" customFormat="false" ht="15" hidden="false" customHeight="true" outlineLevel="0" collapsed="false">
      <c r="A207" s="1" t="s">
        <v>73</v>
      </c>
      <c r="B207" s="3" t="n">
        <v>45689</v>
      </c>
      <c r="C207" s="1" t="s">
        <v>15</v>
      </c>
      <c r="D207" s="1" t="s">
        <v>28</v>
      </c>
      <c r="E207" s="1" t="n">
        <v>54300.87</v>
      </c>
      <c r="F207" s="1" t="n">
        <v>7875</v>
      </c>
      <c r="G207" s="1" t="n">
        <v>0.107</v>
      </c>
      <c r="H207" s="1" t="n">
        <v>19</v>
      </c>
      <c r="I207" s="1" t="n">
        <v>94.1</v>
      </c>
      <c r="J207" s="1" t="n">
        <v>0.95</v>
      </c>
      <c r="K207" s="1" t="n">
        <v>0</v>
      </c>
      <c r="L207" s="1" t="n">
        <v>3.7</v>
      </c>
      <c r="M207" s="1" t="n">
        <v>795464.47</v>
      </c>
      <c r="N207" s="1" t="n">
        <v>161150.52</v>
      </c>
    </row>
    <row r="208" customFormat="false" ht="15" hidden="false" customHeight="true" outlineLevel="0" collapsed="false">
      <c r="A208" s="1" t="s">
        <v>73</v>
      </c>
      <c r="B208" s="3" t="n">
        <v>45717</v>
      </c>
      <c r="C208" s="1" t="s">
        <v>15</v>
      </c>
      <c r="D208" s="1" t="s">
        <v>28</v>
      </c>
      <c r="E208" s="1" t="n">
        <v>37983.35</v>
      </c>
      <c r="F208" s="1" t="n">
        <v>9283</v>
      </c>
      <c r="G208" s="1" t="n">
        <v>0.149</v>
      </c>
      <c r="H208" s="1" t="n">
        <v>19</v>
      </c>
      <c r="I208" s="1" t="n">
        <v>83.2</v>
      </c>
      <c r="J208" s="1" t="n">
        <v>3.82</v>
      </c>
      <c r="K208" s="1" t="n">
        <v>0</v>
      </c>
      <c r="L208" s="1" t="n">
        <v>3.7</v>
      </c>
      <c r="M208" s="1" t="n">
        <v>671868.59</v>
      </c>
      <c r="N208" s="1" t="n">
        <v>71003.28</v>
      </c>
    </row>
    <row r="209" customFormat="false" ht="15" hidden="false" customHeight="true" outlineLevel="0" collapsed="false">
      <c r="A209" s="1" t="s">
        <v>73</v>
      </c>
      <c r="B209" s="3" t="n">
        <v>45748</v>
      </c>
      <c r="C209" s="1" t="s">
        <v>15</v>
      </c>
      <c r="D209" s="1" t="s">
        <v>28</v>
      </c>
      <c r="E209" s="1" t="n">
        <v>56413.83</v>
      </c>
      <c r="F209" s="1" t="n">
        <v>8303</v>
      </c>
      <c r="G209" s="1" t="n">
        <v>0.116</v>
      </c>
      <c r="H209" s="1" t="n">
        <v>18</v>
      </c>
      <c r="I209" s="1" t="n">
        <v>93.6</v>
      </c>
      <c r="J209" s="1" t="n">
        <v>2.7</v>
      </c>
      <c r="K209" s="1" t="n">
        <v>0</v>
      </c>
      <c r="L209" s="1" t="n">
        <v>3.7</v>
      </c>
      <c r="M209" s="1" t="n">
        <v>675917.63</v>
      </c>
      <c r="N209" s="1" t="n">
        <v>112564.75</v>
      </c>
    </row>
    <row r="210" customFormat="false" ht="15" hidden="false" customHeight="true" outlineLevel="0" collapsed="false">
      <c r="A210" s="1" t="s">
        <v>74</v>
      </c>
      <c r="B210" s="3" t="n">
        <v>45658</v>
      </c>
      <c r="C210" s="1" t="s">
        <v>15</v>
      </c>
      <c r="D210" s="1" t="s">
        <v>18</v>
      </c>
      <c r="E210" s="1" t="n">
        <v>63457.19</v>
      </c>
      <c r="F210" s="1" t="n">
        <v>10125</v>
      </c>
      <c r="G210" s="1" t="n">
        <v>0.097</v>
      </c>
      <c r="H210" s="1" t="n">
        <v>24</v>
      </c>
      <c r="I210" s="1" t="n">
        <v>87</v>
      </c>
      <c r="J210" s="1" t="n">
        <v>3.84</v>
      </c>
      <c r="K210" s="1" t="n">
        <v>1</v>
      </c>
      <c r="L210" s="1" t="n">
        <v>3.7</v>
      </c>
      <c r="M210" s="1" t="n">
        <v>810446.53</v>
      </c>
      <c r="N210" s="1" t="n">
        <v>200575.34</v>
      </c>
    </row>
    <row r="211" customFormat="false" ht="15" hidden="false" customHeight="true" outlineLevel="0" collapsed="false">
      <c r="A211" s="1" t="s">
        <v>74</v>
      </c>
      <c r="B211" s="3" t="n">
        <v>45689</v>
      </c>
      <c r="C211" s="1" t="s">
        <v>15</v>
      </c>
      <c r="D211" s="1" t="s">
        <v>18</v>
      </c>
      <c r="E211" s="1" t="n">
        <v>62949.7</v>
      </c>
      <c r="F211" s="1" t="n">
        <v>9458</v>
      </c>
      <c r="G211" s="1" t="n">
        <v>0.171</v>
      </c>
      <c r="H211" s="1" t="n">
        <v>19</v>
      </c>
      <c r="I211" s="1" t="n">
        <v>84.9</v>
      </c>
      <c r="J211" s="1" t="n">
        <v>5.09</v>
      </c>
      <c r="K211" s="1" t="n">
        <v>0</v>
      </c>
      <c r="L211" s="1" t="n">
        <v>3.3</v>
      </c>
      <c r="M211" s="1" t="n">
        <v>691288.19</v>
      </c>
      <c r="N211" s="1" t="n">
        <v>159074.14</v>
      </c>
    </row>
    <row r="212" customFormat="false" ht="15" hidden="false" customHeight="true" outlineLevel="0" collapsed="false">
      <c r="A212" s="1" t="s">
        <v>74</v>
      </c>
      <c r="B212" s="3" t="n">
        <v>45717</v>
      </c>
      <c r="C212" s="1" t="s">
        <v>15</v>
      </c>
      <c r="D212" s="1" t="s">
        <v>18</v>
      </c>
      <c r="E212" s="1" t="n">
        <v>107970.19</v>
      </c>
      <c r="F212" s="1" t="n">
        <v>12870</v>
      </c>
      <c r="G212" s="1" t="n">
        <v>0.029</v>
      </c>
      <c r="H212" s="1" t="n">
        <v>31</v>
      </c>
      <c r="I212" s="1" t="n">
        <v>91.7</v>
      </c>
      <c r="J212" s="1" t="n">
        <v>3.82</v>
      </c>
      <c r="K212" s="1" t="n">
        <v>1</v>
      </c>
      <c r="L212" s="1" t="n">
        <v>3.7</v>
      </c>
      <c r="M212" s="1" t="n">
        <v>946833.54</v>
      </c>
      <c r="N212" s="1" t="n">
        <v>184540.31</v>
      </c>
    </row>
    <row r="213" customFormat="false" ht="15" hidden="false" customHeight="true" outlineLevel="0" collapsed="false">
      <c r="A213" s="1" t="s">
        <v>74</v>
      </c>
      <c r="B213" s="3" t="n">
        <v>45748</v>
      </c>
      <c r="C213" s="1" t="s">
        <v>15</v>
      </c>
      <c r="D213" s="1" t="s">
        <v>18</v>
      </c>
      <c r="E213" s="1" t="n">
        <v>49405.75</v>
      </c>
      <c r="F213" s="1" t="n">
        <v>9752</v>
      </c>
      <c r="G213" s="1" t="n">
        <v>0.093</v>
      </c>
      <c r="H213" s="1" t="n">
        <v>21</v>
      </c>
      <c r="I213" s="1" t="n">
        <v>87</v>
      </c>
      <c r="J213" s="1" t="n">
        <v>12.28</v>
      </c>
      <c r="K213" s="1" t="n">
        <v>0</v>
      </c>
      <c r="L213" s="1" t="n">
        <v>4.1</v>
      </c>
      <c r="M213" s="1" t="n">
        <v>761963.23</v>
      </c>
      <c r="N213" s="1" t="n">
        <v>150113.61</v>
      </c>
    </row>
    <row r="214" customFormat="false" ht="15" hidden="false" customHeight="true" outlineLevel="0" collapsed="false">
      <c r="A214" s="1" t="s">
        <v>75</v>
      </c>
      <c r="B214" s="3" t="n">
        <v>45658</v>
      </c>
      <c r="C214" s="1" t="s">
        <v>27</v>
      </c>
      <c r="D214" s="1" t="s">
        <v>16</v>
      </c>
      <c r="E214" s="1" t="n">
        <v>50887.46</v>
      </c>
      <c r="F214" s="1" t="n">
        <v>9505</v>
      </c>
      <c r="G214" s="1" t="n">
        <v>0.091</v>
      </c>
      <c r="H214" s="1" t="n">
        <v>25</v>
      </c>
      <c r="I214" s="1" t="n">
        <v>89.7</v>
      </c>
      <c r="J214" s="1" t="n">
        <v>2.8</v>
      </c>
      <c r="K214" s="1" t="n">
        <v>0</v>
      </c>
      <c r="L214" s="1" t="n">
        <v>4.3</v>
      </c>
      <c r="M214" s="1" t="n">
        <v>812152.6</v>
      </c>
      <c r="N214" s="1" t="n">
        <v>138419.43</v>
      </c>
    </row>
    <row r="215" customFormat="false" ht="15" hidden="false" customHeight="true" outlineLevel="0" collapsed="false">
      <c r="A215" s="1" t="s">
        <v>75</v>
      </c>
      <c r="B215" s="3" t="n">
        <v>45689</v>
      </c>
      <c r="C215" s="1" t="s">
        <v>27</v>
      </c>
      <c r="D215" s="1" t="s">
        <v>16</v>
      </c>
      <c r="E215" s="1" t="n">
        <v>41819.45</v>
      </c>
      <c r="F215" s="1" t="n">
        <v>9412</v>
      </c>
      <c r="G215" s="1" t="n">
        <v>0.15</v>
      </c>
      <c r="H215" s="1" t="n">
        <v>22</v>
      </c>
      <c r="I215" s="1" t="n">
        <v>91</v>
      </c>
      <c r="J215" s="1" t="n">
        <v>3.67</v>
      </c>
      <c r="K215" s="1" t="n">
        <v>0</v>
      </c>
      <c r="L215" s="1" t="n">
        <v>4.2</v>
      </c>
      <c r="M215" s="1" t="n">
        <v>804975.5</v>
      </c>
      <c r="N215" s="1" t="n">
        <v>140054.5</v>
      </c>
    </row>
    <row r="216" customFormat="false" ht="15" hidden="false" customHeight="true" outlineLevel="0" collapsed="false">
      <c r="A216" s="1" t="s">
        <v>75</v>
      </c>
      <c r="B216" s="3" t="n">
        <v>45717</v>
      </c>
      <c r="C216" s="1" t="s">
        <v>27</v>
      </c>
      <c r="D216" s="1" t="s">
        <v>16</v>
      </c>
      <c r="E216" s="1" t="n">
        <v>35296.54</v>
      </c>
      <c r="F216" s="1" t="n">
        <v>9644</v>
      </c>
      <c r="G216" s="1" t="n">
        <v>0</v>
      </c>
      <c r="H216" s="1" t="n">
        <v>22</v>
      </c>
      <c r="I216" s="1" t="n">
        <v>88</v>
      </c>
      <c r="J216" s="1" t="n">
        <v>2.81</v>
      </c>
      <c r="K216" s="1" t="n">
        <v>0</v>
      </c>
      <c r="L216" s="1" t="n">
        <v>4.7</v>
      </c>
      <c r="M216" s="1" t="n">
        <v>752321.72</v>
      </c>
      <c r="N216" s="1" t="n">
        <v>137788.51</v>
      </c>
    </row>
    <row r="217" customFormat="false" ht="15" hidden="false" customHeight="true" outlineLevel="0" collapsed="false">
      <c r="A217" s="1" t="s">
        <v>75</v>
      </c>
      <c r="B217" s="3" t="n">
        <v>45748</v>
      </c>
      <c r="C217" s="1" t="s">
        <v>27</v>
      </c>
      <c r="D217" s="1" t="s">
        <v>16</v>
      </c>
      <c r="E217" s="1" t="n">
        <v>47391.09</v>
      </c>
      <c r="F217" s="1" t="n">
        <v>11224</v>
      </c>
      <c r="G217" s="1" t="n">
        <v>0.147</v>
      </c>
      <c r="H217" s="1" t="n">
        <v>25</v>
      </c>
      <c r="I217" s="1" t="n">
        <v>88.4</v>
      </c>
      <c r="J217" s="1" t="n">
        <v>2.44</v>
      </c>
      <c r="K217" s="1" t="n">
        <v>0</v>
      </c>
      <c r="L217" s="1" t="n">
        <v>4.9</v>
      </c>
      <c r="M217" s="1" t="n">
        <v>836908.24</v>
      </c>
      <c r="N217" s="1" t="n">
        <v>141090.26</v>
      </c>
    </row>
    <row r="218" customFormat="false" ht="15" hidden="false" customHeight="true" outlineLevel="0" collapsed="false">
      <c r="A218" s="1" t="s">
        <v>76</v>
      </c>
      <c r="B218" s="3" t="n">
        <v>45658</v>
      </c>
      <c r="C218" s="1" t="s">
        <v>20</v>
      </c>
      <c r="D218" s="1" t="s">
        <v>21</v>
      </c>
      <c r="E218" s="1" t="n">
        <v>69180.54</v>
      </c>
      <c r="F218" s="1" t="n">
        <v>5394</v>
      </c>
      <c r="G218" s="1" t="n">
        <v>0.126</v>
      </c>
      <c r="H218" s="1" t="n">
        <v>12</v>
      </c>
      <c r="I218" s="1" t="n">
        <v>82.9</v>
      </c>
      <c r="J218" s="1" t="n">
        <v>3.27</v>
      </c>
      <c r="K218" s="1" t="n">
        <v>0</v>
      </c>
      <c r="L218" s="1" t="n">
        <v>3.3</v>
      </c>
      <c r="M218" s="1" t="n">
        <v>674289.1</v>
      </c>
      <c r="N218" s="1" t="n">
        <v>117773.79</v>
      </c>
    </row>
    <row r="219" customFormat="false" ht="15" hidden="false" customHeight="true" outlineLevel="0" collapsed="false">
      <c r="A219" s="1" t="s">
        <v>76</v>
      </c>
      <c r="B219" s="3" t="n">
        <v>45689</v>
      </c>
      <c r="C219" s="1" t="s">
        <v>20</v>
      </c>
      <c r="D219" s="1" t="s">
        <v>21</v>
      </c>
      <c r="E219" s="1" t="n">
        <v>33987.33</v>
      </c>
      <c r="F219" s="1" t="n">
        <v>5014</v>
      </c>
      <c r="G219" s="1" t="n">
        <v>0.246</v>
      </c>
      <c r="H219" s="1" t="n">
        <v>17</v>
      </c>
      <c r="I219" s="1" t="n">
        <v>94.3</v>
      </c>
      <c r="J219" s="1" t="n">
        <v>10.34</v>
      </c>
      <c r="K219" s="1" t="n">
        <v>0</v>
      </c>
      <c r="L219" s="1" t="n">
        <v>3.9</v>
      </c>
      <c r="M219" s="1" t="n">
        <v>622892.42</v>
      </c>
      <c r="N219" s="1" t="n">
        <v>101032.52</v>
      </c>
    </row>
    <row r="220" customFormat="false" ht="15" hidden="false" customHeight="true" outlineLevel="0" collapsed="false">
      <c r="A220" s="1" t="s">
        <v>76</v>
      </c>
      <c r="B220" s="3" t="n">
        <v>45717</v>
      </c>
      <c r="C220" s="1" t="s">
        <v>20</v>
      </c>
      <c r="D220" s="1" t="s">
        <v>21</v>
      </c>
      <c r="E220" s="1" t="n">
        <v>58785.33</v>
      </c>
      <c r="F220" s="1" t="n">
        <v>4467</v>
      </c>
      <c r="G220" s="1" t="n">
        <v>0.229</v>
      </c>
      <c r="H220" s="1" t="n">
        <v>14</v>
      </c>
      <c r="I220" s="1" t="n">
        <v>90.7</v>
      </c>
      <c r="J220" s="1" t="n">
        <v>1.92</v>
      </c>
      <c r="K220" s="1" t="n">
        <v>0</v>
      </c>
      <c r="L220" s="1" t="n">
        <v>3.7</v>
      </c>
      <c r="M220" s="1" t="n">
        <v>673348.56</v>
      </c>
      <c r="N220" s="1" t="n">
        <v>69464.59</v>
      </c>
    </row>
    <row r="221" customFormat="false" ht="15" hidden="false" customHeight="true" outlineLevel="0" collapsed="false">
      <c r="A221" s="1" t="s">
        <v>76</v>
      </c>
      <c r="B221" s="3" t="n">
        <v>45748</v>
      </c>
      <c r="C221" s="1" t="s">
        <v>20</v>
      </c>
      <c r="D221" s="1" t="s">
        <v>21</v>
      </c>
      <c r="E221" s="1" t="n">
        <v>16451.85</v>
      </c>
      <c r="F221" s="1" t="n">
        <v>4678</v>
      </c>
      <c r="G221" s="1" t="n">
        <v>0.133</v>
      </c>
      <c r="H221" s="1" t="n">
        <v>11</v>
      </c>
      <c r="I221" s="1" t="n">
        <v>95.9</v>
      </c>
      <c r="J221" s="1" t="n">
        <v>3.1</v>
      </c>
      <c r="K221" s="1" t="n">
        <v>0</v>
      </c>
      <c r="L221" s="1" t="n">
        <v>3.9</v>
      </c>
      <c r="M221" s="1" t="n">
        <v>606278.3</v>
      </c>
      <c r="N221" s="1" t="n">
        <v>102213.26</v>
      </c>
    </row>
    <row r="222" customFormat="false" ht="15" hidden="false" customHeight="true" outlineLevel="0" collapsed="false">
      <c r="A222" s="1" t="s">
        <v>77</v>
      </c>
      <c r="B222" s="3" t="n">
        <v>45658</v>
      </c>
      <c r="C222" s="1" t="s">
        <v>15</v>
      </c>
      <c r="D222" s="1" t="s">
        <v>18</v>
      </c>
      <c r="E222" s="1" t="n">
        <v>53367.73</v>
      </c>
      <c r="F222" s="1" t="n">
        <v>7291</v>
      </c>
      <c r="G222" s="1" t="n">
        <v>0.146</v>
      </c>
      <c r="H222" s="1" t="n">
        <v>18</v>
      </c>
      <c r="I222" s="1" t="n">
        <v>90.6</v>
      </c>
      <c r="J222" s="1" t="n">
        <v>6.34</v>
      </c>
      <c r="K222" s="1" t="n">
        <v>1</v>
      </c>
      <c r="L222" s="1" t="n">
        <v>3.8</v>
      </c>
      <c r="M222" s="1" t="n">
        <v>712219.81</v>
      </c>
      <c r="N222" s="1" t="n">
        <v>85906.54</v>
      </c>
    </row>
    <row r="223" customFormat="false" ht="15" hidden="false" customHeight="true" outlineLevel="0" collapsed="false">
      <c r="A223" s="1" t="s">
        <v>77</v>
      </c>
      <c r="B223" s="3" t="n">
        <v>45689</v>
      </c>
      <c r="C223" s="1" t="s">
        <v>15</v>
      </c>
      <c r="D223" s="1" t="s">
        <v>18</v>
      </c>
      <c r="E223" s="1" t="n">
        <v>27194.64</v>
      </c>
      <c r="F223" s="1" t="n">
        <v>7404</v>
      </c>
      <c r="G223" s="1" t="n">
        <v>0.088</v>
      </c>
      <c r="H223" s="1" t="n">
        <v>18</v>
      </c>
      <c r="I223" s="1" t="n">
        <v>90.2</v>
      </c>
      <c r="J223" s="1" t="n">
        <v>1.2</v>
      </c>
      <c r="K223" s="1" t="n">
        <v>0</v>
      </c>
      <c r="L223" s="1" t="n">
        <v>3.4</v>
      </c>
      <c r="M223" s="1" t="n">
        <v>672670.54</v>
      </c>
      <c r="N223" s="1" t="n">
        <v>132684.18</v>
      </c>
    </row>
    <row r="224" customFormat="false" ht="15" hidden="false" customHeight="true" outlineLevel="0" collapsed="false">
      <c r="A224" s="1" t="s">
        <v>77</v>
      </c>
      <c r="B224" s="3" t="n">
        <v>45717</v>
      </c>
      <c r="C224" s="1" t="s">
        <v>15</v>
      </c>
      <c r="D224" s="1" t="s">
        <v>18</v>
      </c>
      <c r="E224" s="1" t="n">
        <v>66962.74</v>
      </c>
      <c r="F224" s="1" t="n">
        <v>7880</v>
      </c>
      <c r="G224" s="1" t="n">
        <v>0.116</v>
      </c>
      <c r="H224" s="1" t="n">
        <v>19</v>
      </c>
      <c r="I224" s="1" t="n">
        <v>90.4</v>
      </c>
      <c r="J224" s="1" t="n">
        <v>4.5</v>
      </c>
      <c r="K224" s="1" t="n">
        <v>0</v>
      </c>
      <c r="L224" s="1" t="n">
        <v>3.3</v>
      </c>
      <c r="M224" s="1" t="n">
        <v>732667.92</v>
      </c>
      <c r="N224" s="1" t="n">
        <v>128654.46</v>
      </c>
    </row>
    <row r="225" customFormat="false" ht="15" hidden="false" customHeight="true" outlineLevel="0" collapsed="false">
      <c r="A225" s="1" t="s">
        <v>77</v>
      </c>
      <c r="B225" s="3" t="n">
        <v>45748</v>
      </c>
      <c r="C225" s="1" t="s">
        <v>15</v>
      </c>
      <c r="D225" s="1" t="s">
        <v>18</v>
      </c>
      <c r="E225" s="1" t="n">
        <v>73540.99</v>
      </c>
      <c r="F225" s="1" t="n">
        <v>8773</v>
      </c>
      <c r="G225" s="1" t="n">
        <v>0.035</v>
      </c>
      <c r="H225" s="1" t="n">
        <v>21</v>
      </c>
      <c r="I225" s="1" t="n">
        <v>84.4</v>
      </c>
      <c r="J225" s="1" t="n">
        <v>6.68</v>
      </c>
      <c r="K225" s="1" t="n">
        <v>0</v>
      </c>
      <c r="L225" s="1" t="n">
        <v>3.6</v>
      </c>
      <c r="M225" s="1" t="n">
        <v>723531.4</v>
      </c>
      <c r="N225" s="1" t="n">
        <v>108794.85</v>
      </c>
    </row>
    <row r="226" customFormat="false" ht="15" hidden="false" customHeight="true" outlineLevel="0" collapsed="false">
      <c r="A226" s="1" t="s">
        <v>78</v>
      </c>
      <c r="B226" s="3" t="n">
        <v>45658</v>
      </c>
      <c r="C226" s="1" t="s">
        <v>15</v>
      </c>
      <c r="D226" s="1" t="s">
        <v>28</v>
      </c>
      <c r="E226" s="1" t="n">
        <v>68212.29</v>
      </c>
      <c r="F226" s="1" t="n">
        <v>4713</v>
      </c>
      <c r="G226" s="1" t="n">
        <v>0.198</v>
      </c>
      <c r="H226" s="1" t="n">
        <v>15</v>
      </c>
      <c r="I226" s="1" t="n">
        <v>82.6</v>
      </c>
      <c r="J226" s="1" t="n">
        <v>4.07</v>
      </c>
      <c r="K226" s="1" t="n">
        <v>1</v>
      </c>
      <c r="L226" s="1" t="n">
        <v>3</v>
      </c>
      <c r="M226" s="1" t="n">
        <v>641564.6</v>
      </c>
      <c r="N226" s="1" t="n">
        <v>90468.96</v>
      </c>
    </row>
    <row r="227" customFormat="false" ht="15" hidden="false" customHeight="true" outlineLevel="0" collapsed="false">
      <c r="A227" s="1" t="s">
        <v>78</v>
      </c>
      <c r="B227" s="3" t="n">
        <v>45689</v>
      </c>
      <c r="C227" s="1" t="s">
        <v>15</v>
      </c>
      <c r="D227" s="1" t="s">
        <v>28</v>
      </c>
      <c r="E227" s="1" t="n">
        <v>57225.98</v>
      </c>
      <c r="F227" s="1" t="n">
        <v>2842</v>
      </c>
      <c r="G227" s="1" t="n">
        <v>0.112</v>
      </c>
      <c r="H227" s="1" t="n">
        <v>10</v>
      </c>
      <c r="I227" s="1" t="n">
        <v>79.5</v>
      </c>
      <c r="J227" s="1" t="n">
        <v>5.45</v>
      </c>
      <c r="K227" s="1" t="n">
        <v>0</v>
      </c>
      <c r="L227" s="1" t="n">
        <v>3.4</v>
      </c>
      <c r="M227" s="1" t="n">
        <v>536545.49</v>
      </c>
      <c r="N227" s="1" t="n">
        <v>97917.45</v>
      </c>
    </row>
    <row r="228" customFormat="false" ht="15" hidden="false" customHeight="true" outlineLevel="0" collapsed="false">
      <c r="A228" s="1" t="s">
        <v>78</v>
      </c>
      <c r="B228" s="3" t="n">
        <v>45717</v>
      </c>
      <c r="C228" s="1" t="s">
        <v>15</v>
      </c>
      <c r="D228" s="1" t="s">
        <v>28</v>
      </c>
      <c r="E228" s="1" t="n">
        <v>42932.02</v>
      </c>
      <c r="F228" s="1" t="n">
        <v>3872</v>
      </c>
      <c r="G228" s="1" t="n">
        <v>0.171</v>
      </c>
      <c r="H228" s="1" t="n">
        <v>12</v>
      </c>
      <c r="I228" s="1" t="n">
        <v>83.2</v>
      </c>
      <c r="J228" s="1" t="n">
        <v>15.58</v>
      </c>
      <c r="K228" s="1" t="n">
        <v>0</v>
      </c>
      <c r="L228" s="1" t="n">
        <v>3.3</v>
      </c>
      <c r="M228" s="1" t="n">
        <v>527681.56</v>
      </c>
      <c r="N228" s="1" t="n">
        <v>63153.05</v>
      </c>
    </row>
    <row r="229" customFormat="false" ht="15" hidden="false" customHeight="true" outlineLevel="0" collapsed="false">
      <c r="A229" s="1" t="s">
        <v>78</v>
      </c>
      <c r="B229" s="3" t="n">
        <v>45748</v>
      </c>
      <c r="C229" s="1" t="s">
        <v>15</v>
      </c>
      <c r="D229" s="1" t="s">
        <v>28</v>
      </c>
      <c r="E229" s="1" t="n">
        <v>39341.45</v>
      </c>
      <c r="F229" s="1" t="n">
        <v>1375</v>
      </c>
      <c r="G229" s="1" t="n">
        <v>0.093</v>
      </c>
      <c r="H229" s="1" t="n">
        <v>5</v>
      </c>
      <c r="I229" s="1" t="n">
        <v>95</v>
      </c>
      <c r="J229" s="1" t="n">
        <v>5.32</v>
      </c>
      <c r="K229" s="1" t="n">
        <v>0</v>
      </c>
      <c r="M229" s="1" t="n">
        <v>529598.94</v>
      </c>
      <c r="N229" s="1" t="n">
        <v>84334.33</v>
      </c>
    </row>
    <row r="230" customFormat="false" ht="15" hidden="false" customHeight="true" outlineLevel="0" collapsed="false">
      <c r="A230" s="1" t="s">
        <v>79</v>
      </c>
      <c r="B230" s="3" t="n">
        <v>45658</v>
      </c>
      <c r="C230" s="1" t="s">
        <v>15</v>
      </c>
      <c r="D230" s="1" t="s">
        <v>18</v>
      </c>
      <c r="E230" s="1" t="n">
        <v>37324.23</v>
      </c>
      <c r="F230" s="1" t="n">
        <v>5957</v>
      </c>
      <c r="G230" s="1" t="n">
        <v>0.071</v>
      </c>
      <c r="H230" s="1" t="n">
        <v>12</v>
      </c>
      <c r="I230" s="1" t="n">
        <v>85.9</v>
      </c>
      <c r="J230" s="1" t="n">
        <v>0.37</v>
      </c>
      <c r="K230" s="1" t="n">
        <v>0</v>
      </c>
      <c r="L230" s="1" t="n">
        <v>3.8</v>
      </c>
      <c r="M230" s="1" t="n">
        <v>570963.31</v>
      </c>
      <c r="N230" s="1" t="n">
        <v>87342.25</v>
      </c>
    </row>
    <row r="231" customFormat="false" ht="15" hidden="false" customHeight="true" outlineLevel="0" collapsed="false">
      <c r="A231" s="1" t="s">
        <v>79</v>
      </c>
      <c r="B231" s="3" t="n">
        <v>45689</v>
      </c>
      <c r="C231" s="1" t="s">
        <v>15</v>
      </c>
      <c r="D231" s="1" t="s">
        <v>18</v>
      </c>
      <c r="E231" s="1" t="n">
        <v>113736</v>
      </c>
      <c r="F231" s="1" t="n">
        <v>8961</v>
      </c>
      <c r="G231" s="1" t="n">
        <v>0.202</v>
      </c>
      <c r="H231" s="1" t="n">
        <v>24</v>
      </c>
      <c r="I231" s="1" t="n">
        <v>86.2</v>
      </c>
      <c r="J231" s="1" t="n">
        <v>21.63</v>
      </c>
      <c r="K231" s="1" t="n">
        <v>0</v>
      </c>
      <c r="L231" s="1" t="n">
        <v>4</v>
      </c>
      <c r="M231" s="1" t="n">
        <v>870937.4</v>
      </c>
      <c r="N231" s="1" t="n">
        <v>175282.74</v>
      </c>
    </row>
    <row r="232" customFormat="false" ht="15" hidden="false" customHeight="true" outlineLevel="0" collapsed="false">
      <c r="A232" s="1" t="s">
        <v>79</v>
      </c>
      <c r="B232" s="3" t="n">
        <v>45717</v>
      </c>
      <c r="C232" s="1" t="s">
        <v>15</v>
      </c>
      <c r="D232" s="1" t="s">
        <v>18</v>
      </c>
      <c r="E232" s="1" t="n">
        <v>33173.95</v>
      </c>
      <c r="F232" s="1" t="n">
        <v>6545</v>
      </c>
      <c r="G232" s="1" t="n">
        <v>0.169</v>
      </c>
      <c r="H232" s="1" t="n">
        <v>15</v>
      </c>
      <c r="I232" s="1" t="n">
        <v>84.4</v>
      </c>
      <c r="J232" s="1" t="n">
        <v>2.48</v>
      </c>
      <c r="K232" s="1" t="n">
        <v>0</v>
      </c>
      <c r="L232" s="1" t="n">
        <v>3.9</v>
      </c>
      <c r="M232" s="1" t="n">
        <v>596969.27</v>
      </c>
      <c r="N232" s="1" t="n">
        <v>105669.51</v>
      </c>
    </row>
    <row r="233" customFormat="false" ht="15" hidden="false" customHeight="true" outlineLevel="0" collapsed="false">
      <c r="A233" s="1" t="s">
        <v>79</v>
      </c>
      <c r="B233" s="3" t="n">
        <v>45748</v>
      </c>
      <c r="C233" s="1" t="s">
        <v>15</v>
      </c>
      <c r="D233" s="1" t="s">
        <v>18</v>
      </c>
      <c r="E233" s="1" t="n">
        <v>25818.08</v>
      </c>
      <c r="F233" s="1" t="n">
        <v>5457</v>
      </c>
      <c r="G233" s="1" t="n">
        <v>0</v>
      </c>
      <c r="H233" s="1" t="n">
        <v>11</v>
      </c>
      <c r="I233" s="1" t="n">
        <v>95.4</v>
      </c>
      <c r="K233" s="1" t="n">
        <v>0</v>
      </c>
      <c r="L233" s="1" t="n">
        <v>3.7</v>
      </c>
      <c r="M233" s="1" t="n">
        <v>647512.85</v>
      </c>
      <c r="N233" s="1" t="n">
        <v>153835.57</v>
      </c>
    </row>
    <row r="234" customFormat="false" ht="15" hidden="false" customHeight="true" outlineLevel="0" collapsed="false">
      <c r="A234" s="1" t="s">
        <v>80</v>
      </c>
      <c r="B234" s="3" t="n">
        <v>45658</v>
      </c>
      <c r="C234" s="1" t="s">
        <v>27</v>
      </c>
      <c r="D234" s="1" t="s">
        <v>16</v>
      </c>
      <c r="E234" s="1" t="n">
        <v>47241.92</v>
      </c>
      <c r="F234" s="1" t="n">
        <v>4264</v>
      </c>
      <c r="G234" s="1" t="n">
        <v>0.069</v>
      </c>
      <c r="H234" s="1" t="n">
        <v>13</v>
      </c>
      <c r="I234" s="1" t="n">
        <v>95.3</v>
      </c>
      <c r="J234" s="1" t="n">
        <v>0.85</v>
      </c>
      <c r="K234" s="1" t="n">
        <v>0</v>
      </c>
      <c r="L234" s="1" t="n">
        <v>4.3</v>
      </c>
      <c r="M234" s="1" t="n">
        <v>658072.14</v>
      </c>
      <c r="N234" s="1" t="n">
        <v>110595.89</v>
      </c>
    </row>
    <row r="235" customFormat="false" ht="15" hidden="false" customHeight="true" outlineLevel="0" collapsed="false">
      <c r="A235" s="1" t="s">
        <v>80</v>
      </c>
      <c r="B235" s="3" t="n">
        <v>45689</v>
      </c>
      <c r="C235" s="1" t="s">
        <v>27</v>
      </c>
      <c r="D235" s="1" t="s">
        <v>16</v>
      </c>
      <c r="E235" s="1" t="n">
        <v>61650.79</v>
      </c>
      <c r="F235" s="1" t="n">
        <v>5321</v>
      </c>
      <c r="G235" s="1" t="n">
        <v>0.126</v>
      </c>
      <c r="H235" s="1" t="n">
        <v>17</v>
      </c>
      <c r="I235" s="1" t="n">
        <v>89.2</v>
      </c>
      <c r="J235" s="1" t="n">
        <v>2.13</v>
      </c>
      <c r="K235" s="1" t="n">
        <v>0</v>
      </c>
      <c r="L235" s="1" t="n">
        <v>4</v>
      </c>
      <c r="M235" s="1" t="n">
        <v>723305.11</v>
      </c>
      <c r="N235" s="1" t="n">
        <v>128468.7</v>
      </c>
    </row>
    <row r="236" customFormat="false" ht="15" hidden="false" customHeight="true" outlineLevel="0" collapsed="false">
      <c r="A236" s="1" t="s">
        <v>80</v>
      </c>
      <c r="B236" s="3" t="n">
        <v>45717</v>
      </c>
      <c r="C236" s="1" t="s">
        <v>27</v>
      </c>
      <c r="D236" s="1" t="s">
        <v>16</v>
      </c>
      <c r="E236" s="1" t="n">
        <v>62582.71</v>
      </c>
      <c r="F236" s="1" t="n">
        <v>5479</v>
      </c>
      <c r="G236" s="1" t="n">
        <v>0.048</v>
      </c>
      <c r="H236" s="1" t="n">
        <v>16</v>
      </c>
      <c r="I236" s="1" t="n">
        <v>81.2</v>
      </c>
      <c r="J236" s="1" t="n">
        <v>1.46</v>
      </c>
      <c r="K236" s="1" t="n">
        <v>0</v>
      </c>
      <c r="L236" s="1" t="n">
        <v>4.5</v>
      </c>
      <c r="M236" s="1" t="n">
        <v>640666.53</v>
      </c>
      <c r="N236" s="1" t="n">
        <v>134919.16</v>
      </c>
    </row>
    <row r="237" customFormat="false" ht="15" hidden="false" customHeight="true" outlineLevel="0" collapsed="false">
      <c r="A237" s="1" t="s">
        <v>80</v>
      </c>
      <c r="B237" s="3" t="n">
        <v>45748</v>
      </c>
      <c r="C237" s="1" t="s">
        <v>27</v>
      </c>
      <c r="D237" s="1" t="s">
        <v>16</v>
      </c>
      <c r="E237" s="1" t="n">
        <v>47944.14</v>
      </c>
      <c r="F237" s="1" t="n">
        <v>6169</v>
      </c>
      <c r="G237" s="1" t="n">
        <v>0.119</v>
      </c>
      <c r="H237" s="1" t="n">
        <v>17</v>
      </c>
      <c r="I237" s="1" t="n">
        <v>92.2</v>
      </c>
      <c r="J237" s="1" t="n">
        <v>3.02</v>
      </c>
      <c r="K237" s="1" t="n">
        <v>0</v>
      </c>
      <c r="L237" s="1" t="n">
        <v>4.1</v>
      </c>
      <c r="M237" s="1" t="n">
        <v>670629.48</v>
      </c>
      <c r="N237" s="1" t="n">
        <v>100140.8</v>
      </c>
    </row>
    <row r="238" customFormat="false" ht="15" hidden="false" customHeight="true" outlineLevel="0" collapsed="false">
      <c r="A238" s="1" t="s">
        <v>81</v>
      </c>
      <c r="B238" s="3" t="n">
        <v>45658</v>
      </c>
      <c r="C238" s="1" t="s">
        <v>27</v>
      </c>
      <c r="D238" s="1" t="s">
        <v>28</v>
      </c>
      <c r="E238" s="1" t="n">
        <v>46495.4</v>
      </c>
      <c r="F238" s="1" t="n">
        <v>9908</v>
      </c>
      <c r="G238" s="1" t="n">
        <v>0.121</v>
      </c>
      <c r="H238" s="1" t="n">
        <v>22</v>
      </c>
      <c r="I238" s="1" t="n">
        <v>89.4</v>
      </c>
      <c r="J238" s="1" t="n">
        <v>3.22</v>
      </c>
      <c r="K238" s="1" t="n">
        <v>0</v>
      </c>
      <c r="L238" s="1" t="n">
        <v>3.7</v>
      </c>
      <c r="M238" s="1" t="n">
        <v>721079.35</v>
      </c>
      <c r="N238" s="1" t="n">
        <v>115295.05</v>
      </c>
    </row>
    <row r="239" customFormat="false" ht="15" hidden="false" customHeight="true" outlineLevel="0" collapsed="false">
      <c r="A239" s="1" t="s">
        <v>81</v>
      </c>
      <c r="B239" s="3" t="n">
        <v>45689</v>
      </c>
      <c r="C239" s="1" t="s">
        <v>27</v>
      </c>
      <c r="D239" s="1" t="s">
        <v>28</v>
      </c>
      <c r="E239" s="1" t="n">
        <v>72961.95</v>
      </c>
      <c r="F239" s="1" t="n">
        <v>9996</v>
      </c>
      <c r="G239" s="1" t="n">
        <v>0.106</v>
      </c>
      <c r="H239" s="1" t="n">
        <v>22</v>
      </c>
      <c r="I239" s="1" t="n">
        <v>89.1</v>
      </c>
      <c r="J239" s="1" t="n">
        <v>15.66</v>
      </c>
      <c r="K239" s="1" t="n">
        <v>0</v>
      </c>
      <c r="L239" s="1" t="n">
        <v>3.4</v>
      </c>
      <c r="M239" s="1" t="n">
        <v>810355.02</v>
      </c>
      <c r="N239" s="1" t="n">
        <v>131510</v>
      </c>
    </row>
    <row r="240" customFormat="false" ht="15" hidden="false" customHeight="true" outlineLevel="0" collapsed="false">
      <c r="A240" s="1" t="s">
        <v>81</v>
      </c>
      <c r="B240" s="3" t="n">
        <v>45717</v>
      </c>
      <c r="C240" s="1" t="s">
        <v>27</v>
      </c>
      <c r="D240" s="1" t="s">
        <v>28</v>
      </c>
      <c r="E240" s="1" t="n">
        <v>59060.05</v>
      </c>
      <c r="F240" s="1" t="n">
        <v>9702</v>
      </c>
      <c r="G240" s="1" t="n">
        <v>0.201</v>
      </c>
      <c r="H240" s="1" t="n">
        <v>23</v>
      </c>
      <c r="I240" s="1" t="n">
        <v>80.9</v>
      </c>
      <c r="J240" s="1" t="n">
        <v>6.96</v>
      </c>
      <c r="K240" s="1" t="n">
        <v>0</v>
      </c>
      <c r="L240" s="1" t="n">
        <v>3.2</v>
      </c>
      <c r="M240" s="1" t="n">
        <v>761919.25</v>
      </c>
      <c r="N240" s="1" t="n">
        <v>111893.06</v>
      </c>
    </row>
    <row r="241" customFormat="false" ht="15" hidden="false" customHeight="true" outlineLevel="0" collapsed="false">
      <c r="A241" s="1" t="s">
        <v>81</v>
      </c>
      <c r="B241" s="3" t="n">
        <v>45748</v>
      </c>
      <c r="C241" s="1" t="s">
        <v>27</v>
      </c>
      <c r="D241" s="1" t="s">
        <v>28</v>
      </c>
      <c r="E241" s="1" t="n">
        <v>26248.1</v>
      </c>
      <c r="F241" s="1" t="n">
        <v>9314</v>
      </c>
      <c r="G241" s="1" t="n">
        <v>0.186</v>
      </c>
      <c r="H241" s="1" t="n">
        <v>21</v>
      </c>
      <c r="I241" s="1" t="n">
        <v>83.7</v>
      </c>
      <c r="J241" s="1" t="n">
        <v>4.62</v>
      </c>
      <c r="K241" s="1" t="n">
        <v>0</v>
      </c>
      <c r="L241" s="1" t="n">
        <v>3.3</v>
      </c>
      <c r="M241" s="1" t="n">
        <v>737070.18</v>
      </c>
      <c r="N241" s="1" t="n">
        <v>117593.97</v>
      </c>
    </row>
    <row r="242" customFormat="false" ht="15" hidden="false" customHeight="true" outlineLevel="0" collapsed="false">
      <c r="A242" s="1" t="s">
        <v>82</v>
      </c>
      <c r="B242" s="3" t="n">
        <v>45658</v>
      </c>
      <c r="C242" s="1" t="s">
        <v>24</v>
      </c>
      <c r="D242" s="1" t="s">
        <v>21</v>
      </c>
      <c r="E242" s="1" t="n">
        <v>69900.12</v>
      </c>
      <c r="F242" s="1" t="n">
        <v>8055</v>
      </c>
      <c r="G242" s="1" t="n">
        <v>0.281</v>
      </c>
      <c r="H242" s="1" t="n">
        <v>22</v>
      </c>
      <c r="I242" s="1" t="n">
        <v>85.6</v>
      </c>
      <c r="J242" s="1" t="n">
        <v>10.68</v>
      </c>
      <c r="K242" s="1" t="n">
        <v>1</v>
      </c>
      <c r="L242" s="1" t="n">
        <v>2.9</v>
      </c>
      <c r="M242" s="1" t="n">
        <v>776992.93</v>
      </c>
      <c r="N242" s="1" t="n">
        <v>101598.32</v>
      </c>
    </row>
    <row r="243" customFormat="false" ht="15" hidden="false" customHeight="true" outlineLevel="0" collapsed="false">
      <c r="A243" s="1" t="s">
        <v>82</v>
      </c>
      <c r="B243" s="3" t="n">
        <v>45689</v>
      </c>
      <c r="C243" s="1" t="s">
        <v>24</v>
      </c>
      <c r="D243" s="1" t="s">
        <v>21</v>
      </c>
      <c r="E243" s="1" t="n">
        <v>51781.6</v>
      </c>
      <c r="F243" s="1" t="n">
        <v>5648</v>
      </c>
      <c r="G243" s="1" t="n">
        <v>0.059</v>
      </c>
      <c r="H243" s="1" t="n">
        <v>13</v>
      </c>
      <c r="I243" s="1" t="n">
        <v>85.5</v>
      </c>
      <c r="J243" s="1" t="n">
        <v>4.04</v>
      </c>
      <c r="K243" s="1" t="n">
        <v>0</v>
      </c>
      <c r="L243" s="1" t="n">
        <v>3.7</v>
      </c>
      <c r="M243" s="1" t="n">
        <v>676337.41</v>
      </c>
      <c r="N243" s="1" t="n">
        <v>104355.77</v>
      </c>
    </row>
    <row r="244" customFormat="false" ht="15" hidden="false" customHeight="true" outlineLevel="0" collapsed="false">
      <c r="A244" s="1" t="s">
        <v>82</v>
      </c>
      <c r="B244" s="3" t="n">
        <v>45717</v>
      </c>
      <c r="C244" s="1" t="s">
        <v>24</v>
      </c>
      <c r="D244" s="1" t="s">
        <v>21</v>
      </c>
      <c r="E244" s="1" t="n">
        <v>70799.64</v>
      </c>
      <c r="F244" s="1" t="n">
        <v>10076</v>
      </c>
      <c r="G244" s="1" t="n">
        <v>0.152</v>
      </c>
      <c r="H244" s="1" t="n">
        <v>24</v>
      </c>
      <c r="I244" s="1" t="n">
        <v>84.8</v>
      </c>
      <c r="J244" s="1" t="n">
        <v>1.87</v>
      </c>
      <c r="K244" s="1" t="n">
        <v>0</v>
      </c>
      <c r="L244" s="1" t="n">
        <v>3.5</v>
      </c>
      <c r="M244" s="1" t="n">
        <v>828219.67</v>
      </c>
      <c r="N244" s="1" t="n">
        <v>179806.87</v>
      </c>
    </row>
    <row r="245" customFormat="false" ht="15" hidden="false" customHeight="true" outlineLevel="0" collapsed="false">
      <c r="A245" s="1" t="s">
        <v>82</v>
      </c>
      <c r="B245" s="3" t="n">
        <v>45748</v>
      </c>
      <c r="C245" s="1" t="s">
        <v>24</v>
      </c>
      <c r="D245" s="1" t="s">
        <v>21</v>
      </c>
      <c r="E245" s="1" t="n">
        <v>53546.34</v>
      </c>
      <c r="F245" s="1" t="n">
        <v>8004</v>
      </c>
      <c r="G245" s="1" t="n">
        <v>0</v>
      </c>
      <c r="H245" s="1" t="n">
        <v>21</v>
      </c>
      <c r="I245" s="1" t="n">
        <v>95.2</v>
      </c>
      <c r="J245" s="1" t="n">
        <v>2.83</v>
      </c>
      <c r="K245" s="1" t="n">
        <v>0</v>
      </c>
      <c r="L245" s="1" t="n">
        <v>3</v>
      </c>
      <c r="M245" s="1" t="n">
        <v>763159.92</v>
      </c>
      <c r="N245" s="1" t="n">
        <v>177104.87</v>
      </c>
    </row>
    <row r="246" customFormat="false" ht="15" hidden="false" customHeight="true" outlineLevel="0" collapsed="false">
      <c r="A246" s="1" t="s">
        <v>83</v>
      </c>
      <c r="B246" s="3" t="n">
        <v>45658</v>
      </c>
      <c r="C246" s="1" t="s">
        <v>15</v>
      </c>
      <c r="D246" s="1" t="s">
        <v>18</v>
      </c>
      <c r="E246" s="1" t="n">
        <v>76942.2</v>
      </c>
      <c r="F246" s="1" t="n">
        <v>8934</v>
      </c>
      <c r="G246" s="1" t="n">
        <v>0.084</v>
      </c>
      <c r="H246" s="1" t="n">
        <v>20</v>
      </c>
      <c r="I246" s="1" t="n">
        <v>91</v>
      </c>
      <c r="J246" s="1" t="n">
        <v>0.95</v>
      </c>
      <c r="K246" s="1" t="n">
        <v>0</v>
      </c>
      <c r="L246" s="1" t="n">
        <v>3.2</v>
      </c>
      <c r="M246" s="1" t="n">
        <v>802001.68</v>
      </c>
      <c r="N246" s="1" t="n">
        <v>159715.82</v>
      </c>
    </row>
    <row r="247" customFormat="false" ht="15" hidden="false" customHeight="true" outlineLevel="0" collapsed="false">
      <c r="A247" s="1" t="s">
        <v>83</v>
      </c>
      <c r="B247" s="3" t="n">
        <v>45689</v>
      </c>
      <c r="C247" s="1" t="s">
        <v>15</v>
      </c>
      <c r="D247" s="1" t="s">
        <v>18</v>
      </c>
      <c r="E247" s="1" t="n">
        <v>48060.78</v>
      </c>
      <c r="F247" s="1" t="n">
        <v>8733</v>
      </c>
      <c r="G247" s="1" t="n">
        <v>0</v>
      </c>
      <c r="H247" s="1" t="n">
        <v>20</v>
      </c>
      <c r="I247" s="1" t="n">
        <v>89.9</v>
      </c>
      <c r="J247" s="1" t="n">
        <v>0.8</v>
      </c>
      <c r="K247" s="1" t="n">
        <v>0</v>
      </c>
      <c r="L247" s="1" t="n">
        <v>3.4</v>
      </c>
      <c r="M247" s="1" t="n">
        <v>750471.34</v>
      </c>
      <c r="N247" s="1" t="n">
        <v>133788.04</v>
      </c>
    </row>
    <row r="248" customFormat="false" ht="15" hidden="false" customHeight="true" outlineLevel="0" collapsed="false">
      <c r="A248" s="1" t="s">
        <v>83</v>
      </c>
      <c r="B248" s="3" t="n">
        <v>45717</v>
      </c>
      <c r="C248" s="1" t="s">
        <v>15</v>
      </c>
      <c r="D248" s="1" t="s">
        <v>18</v>
      </c>
      <c r="E248" s="1" t="n">
        <v>57390.04</v>
      </c>
      <c r="F248" s="1" t="n">
        <v>7374</v>
      </c>
      <c r="G248" s="1" t="n">
        <v>0.21</v>
      </c>
      <c r="H248" s="1" t="n">
        <v>21</v>
      </c>
      <c r="I248" s="1" t="n">
        <v>91.8</v>
      </c>
      <c r="J248" s="1" t="n">
        <v>0.2</v>
      </c>
      <c r="K248" s="1" t="n">
        <v>0</v>
      </c>
      <c r="L248" s="1" t="n">
        <v>3.1</v>
      </c>
      <c r="M248" s="1" t="n">
        <v>679230.86</v>
      </c>
      <c r="N248" s="1" t="n">
        <v>106927.58</v>
      </c>
    </row>
    <row r="249" customFormat="false" ht="15" hidden="false" customHeight="true" outlineLevel="0" collapsed="false">
      <c r="A249" s="1" t="s">
        <v>83</v>
      </c>
      <c r="B249" s="3" t="n">
        <v>45748</v>
      </c>
      <c r="C249" s="1" t="s">
        <v>15</v>
      </c>
      <c r="D249" s="1" t="s">
        <v>18</v>
      </c>
      <c r="E249" s="1" t="n">
        <v>21536.18</v>
      </c>
      <c r="F249" s="1" t="n">
        <v>8119</v>
      </c>
      <c r="G249" s="1" t="n">
        <v>0.227</v>
      </c>
      <c r="H249" s="1" t="n">
        <v>20</v>
      </c>
      <c r="I249" s="1" t="n">
        <v>90.4</v>
      </c>
      <c r="J249" s="1" t="n">
        <v>1.7</v>
      </c>
      <c r="K249" s="1" t="n">
        <v>0</v>
      </c>
      <c r="L249" s="1" t="n">
        <v>3.3</v>
      </c>
      <c r="M249" s="1" t="n">
        <v>679888.74</v>
      </c>
      <c r="N249" s="1" t="n">
        <v>83406.89</v>
      </c>
    </row>
    <row r="250" customFormat="false" ht="15" hidden="false" customHeight="true" outlineLevel="0" collapsed="false">
      <c r="A250" s="1" t="s">
        <v>84</v>
      </c>
      <c r="B250" s="3" t="n">
        <v>45658</v>
      </c>
      <c r="C250" s="1" t="s">
        <v>20</v>
      </c>
      <c r="D250" s="1" t="s">
        <v>18</v>
      </c>
      <c r="E250" s="1" t="n">
        <v>40923.67</v>
      </c>
      <c r="F250" s="1" t="n">
        <v>3875</v>
      </c>
      <c r="G250" s="1" t="n">
        <v>0.15</v>
      </c>
      <c r="H250" s="1" t="n">
        <v>10</v>
      </c>
      <c r="I250" s="1" t="n">
        <v>96.1</v>
      </c>
      <c r="K250" s="1" t="n">
        <v>0</v>
      </c>
      <c r="L250" s="1" t="n">
        <v>3.8</v>
      </c>
      <c r="M250" s="1" t="n">
        <v>606783.67</v>
      </c>
      <c r="N250" s="1" t="n">
        <v>74515.87</v>
      </c>
    </row>
    <row r="251" customFormat="false" ht="15" hidden="false" customHeight="true" outlineLevel="0" collapsed="false">
      <c r="A251" s="1" t="s">
        <v>84</v>
      </c>
      <c r="B251" s="3" t="n">
        <v>45689</v>
      </c>
      <c r="C251" s="1" t="s">
        <v>20</v>
      </c>
      <c r="D251" s="1" t="s">
        <v>18</v>
      </c>
      <c r="E251" s="1" t="n">
        <v>72932.55</v>
      </c>
      <c r="F251" s="1" t="n">
        <v>5765</v>
      </c>
      <c r="G251" s="1" t="n">
        <v>0.026</v>
      </c>
      <c r="H251" s="1" t="n">
        <v>17</v>
      </c>
      <c r="I251" s="1" t="n">
        <v>81.8</v>
      </c>
      <c r="J251" s="1" t="n">
        <v>5.1</v>
      </c>
      <c r="K251" s="1" t="n">
        <v>0</v>
      </c>
      <c r="L251" s="1" t="n">
        <v>3.6</v>
      </c>
      <c r="M251" s="1" t="n">
        <v>642751.42</v>
      </c>
      <c r="N251" s="1" t="n">
        <v>131942.15</v>
      </c>
    </row>
    <row r="252" customFormat="false" ht="15" hidden="false" customHeight="true" outlineLevel="0" collapsed="false">
      <c r="A252" s="1" t="s">
        <v>84</v>
      </c>
      <c r="B252" s="3" t="n">
        <v>45717</v>
      </c>
      <c r="C252" s="1" t="s">
        <v>20</v>
      </c>
      <c r="D252" s="1" t="s">
        <v>18</v>
      </c>
      <c r="E252" s="1" t="n">
        <v>38361.93</v>
      </c>
      <c r="F252" s="1" t="n">
        <v>6322</v>
      </c>
      <c r="G252" s="1" t="n">
        <v>0.273</v>
      </c>
      <c r="H252" s="1" t="n">
        <v>15</v>
      </c>
      <c r="I252" s="1" t="n">
        <v>88.4</v>
      </c>
      <c r="J252" s="1" t="n">
        <v>0.83</v>
      </c>
      <c r="K252" s="1" t="n">
        <v>0</v>
      </c>
      <c r="L252" s="1" t="n">
        <v>4</v>
      </c>
      <c r="M252" s="1" t="n">
        <v>647953.78</v>
      </c>
      <c r="N252" s="1" t="n">
        <v>118497.43</v>
      </c>
    </row>
    <row r="253" customFormat="false" ht="15" hidden="false" customHeight="true" outlineLevel="0" collapsed="false">
      <c r="A253" s="1" t="s">
        <v>84</v>
      </c>
      <c r="B253" s="3" t="n">
        <v>45748</v>
      </c>
      <c r="C253" s="1" t="s">
        <v>20</v>
      </c>
      <c r="D253" s="1" t="s">
        <v>18</v>
      </c>
      <c r="E253" s="1" t="n">
        <v>97480.94</v>
      </c>
      <c r="F253" s="1" t="n">
        <v>6840</v>
      </c>
      <c r="G253" s="1" t="n">
        <v>0.087</v>
      </c>
      <c r="H253" s="1" t="n">
        <v>14</v>
      </c>
      <c r="I253" s="1" t="n">
        <v>79.2</v>
      </c>
      <c r="J253" s="1" t="n">
        <v>1.14</v>
      </c>
      <c r="K253" s="1" t="n">
        <v>0</v>
      </c>
      <c r="L253" s="1" t="n">
        <v>4</v>
      </c>
      <c r="M253" s="1" t="n">
        <v>729440.45</v>
      </c>
      <c r="N253" s="1" t="n">
        <v>87614.29</v>
      </c>
    </row>
    <row r="254" customFormat="false" ht="15" hidden="false" customHeight="true" outlineLevel="0" collapsed="false">
      <c r="A254" s="1" t="s">
        <v>85</v>
      </c>
      <c r="B254" s="3" t="n">
        <v>45658</v>
      </c>
      <c r="C254" s="1" t="s">
        <v>24</v>
      </c>
      <c r="D254" s="1" t="s">
        <v>21</v>
      </c>
      <c r="E254" s="1" t="n">
        <v>81801.8</v>
      </c>
      <c r="F254" s="1" t="n">
        <v>6782</v>
      </c>
      <c r="G254" s="1" t="n">
        <v>0.05</v>
      </c>
      <c r="H254" s="1" t="n">
        <v>16</v>
      </c>
      <c r="I254" s="1" t="n">
        <v>99</v>
      </c>
      <c r="J254" s="1" t="n">
        <v>9.54</v>
      </c>
      <c r="K254" s="1" t="n">
        <v>0</v>
      </c>
      <c r="L254" s="1" t="n">
        <v>3.7</v>
      </c>
      <c r="M254" s="1" t="n">
        <v>764949</v>
      </c>
      <c r="N254" s="1" t="n">
        <v>148322.43</v>
      </c>
    </row>
    <row r="255" customFormat="false" ht="15" hidden="false" customHeight="true" outlineLevel="0" collapsed="false">
      <c r="A255" s="1" t="s">
        <v>85</v>
      </c>
      <c r="B255" s="3" t="n">
        <v>45689</v>
      </c>
      <c r="C255" s="1" t="s">
        <v>24</v>
      </c>
      <c r="D255" s="1" t="s">
        <v>21</v>
      </c>
      <c r="E255" s="1" t="n">
        <v>63582.11</v>
      </c>
      <c r="F255" s="1" t="n">
        <v>6856</v>
      </c>
      <c r="G255" s="1" t="n">
        <v>0.074</v>
      </c>
      <c r="H255" s="1" t="n">
        <v>17</v>
      </c>
      <c r="I255" s="1" t="n">
        <v>89.5</v>
      </c>
      <c r="J255" s="1" t="n">
        <v>5.48</v>
      </c>
      <c r="K255" s="1" t="n">
        <v>0</v>
      </c>
      <c r="L255" s="1" t="n">
        <v>3.2</v>
      </c>
      <c r="M255" s="1" t="n">
        <v>799046.94</v>
      </c>
      <c r="N255" s="1" t="n">
        <v>144553.64</v>
      </c>
    </row>
    <row r="256" customFormat="false" ht="15" hidden="false" customHeight="true" outlineLevel="0" collapsed="false">
      <c r="A256" s="1" t="s">
        <v>85</v>
      </c>
      <c r="B256" s="3" t="n">
        <v>45717</v>
      </c>
      <c r="C256" s="1" t="s">
        <v>24</v>
      </c>
      <c r="D256" s="1" t="s">
        <v>21</v>
      </c>
      <c r="E256" s="1" t="n">
        <v>75412.74</v>
      </c>
      <c r="F256" s="1" t="n">
        <v>5641</v>
      </c>
      <c r="G256" s="1" t="n">
        <v>0.059</v>
      </c>
      <c r="H256" s="1" t="n">
        <v>13</v>
      </c>
      <c r="I256" s="1" t="n">
        <v>87.9</v>
      </c>
      <c r="J256" s="1" t="n">
        <v>0.84</v>
      </c>
      <c r="K256" s="1" t="n">
        <v>0</v>
      </c>
      <c r="L256" s="1" t="n">
        <v>3.6</v>
      </c>
      <c r="M256" s="1" t="n">
        <v>720079.54</v>
      </c>
      <c r="N256" s="1" t="n">
        <v>119499.47</v>
      </c>
    </row>
    <row r="257" customFormat="false" ht="15" hidden="false" customHeight="true" outlineLevel="0" collapsed="false">
      <c r="A257" s="1" t="s">
        <v>85</v>
      </c>
      <c r="B257" s="3" t="n">
        <v>45748</v>
      </c>
      <c r="C257" s="1" t="s">
        <v>24</v>
      </c>
      <c r="D257" s="1" t="s">
        <v>21</v>
      </c>
      <c r="E257" s="1" t="n">
        <v>36290.08</v>
      </c>
      <c r="F257" s="1" t="n">
        <v>5787</v>
      </c>
      <c r="G257" s="1" t="n">
        <v>0</v>
      </c>
      <c r="H257" s="1" t="n">
        <v>17</v>
      </c>
      <c r="I257" s="1" t="n">
        <v>88.3</v>
      </c>
      <c r="J257" s="1" t="n">
        <v>4.19</v>
      </c>
      <c r="K257" s="1" t="n">
        <v>0</v>
      </c>
      <c r="L257" s="1" t="n">
        <v>4.1</v>
      </c>
      <c r="M257" s="1" t="n">
        <v>612390.14</v>
      </c>
      <c r="N257" s="1" t="n">
        <v>108985.74</v>
      </c>
    </row>
    <row r="258" customFormat="false" ht="15" hidden="false" customHeight="true" outlineLevel="0" collapsed="false">
      <c r="A258" s="1" t="s">
        <v>86</v>
      </c>
      <c r="B258" s="3" t="n">
        <v>45658</v>
      </c>
      <c r="C258" s="1" t="s">
        <v>24</v>
      </c>
      <c r="D258" s="1" t="s">
        <v>28</v>
      </c>
      <c r="E258" s="1" t="n">
        <v>65272.58</v>
      </c>
      <c r="F258" s="1" t="n">
        <v>8165</v>
      </c>
      <c r="G258" s="1" t="n">
        <v>0.051</v>
      </c>
      <c r="H258" s="1" t="n">
        <v>19</v>
      </c>
      <c r="I258" s="1" t="n">
        <v>87.8</v>
      </c>
      <c r="J258" s="1" t="n">
        <v>1.26</v>
      </c>
      <c r="K258" s="1" t="n">
        <v>1</v>
      </c>
      <c r="L258" s="1" t="n">
        <v>4.3</v>
      </c>
      <c r="M258" s="1" t="n">
        <v>840108.12</v>
      </c>
      <c r="N258" s="1" t="n">
        <v>126587.01</v>
      </c>
    </row>
    <row r="259" customFormat="false" ht="15" hidden="false" customHeight="true" outlineLevel="0" collapsed="false">
      <c r="A259" s="1" t="s">
        <v>86</v>
      </c>
      <c r="B259" s="3" t="n">
        <v>45689</v>
      </c>
      <c r="C259" s="1" t="s">
        <v>24</v>
      </c>
      <c r="D259" s="1" t="s">
        <v>28</v>
      </c>
      <c r="E259" s="1" t="n">
        <v>28670.43</v>
      </c>
      <c r="F259" s="1" t="n">
        <v>7574</v>
      </c>
      <c r="G259" s="1" t="n">
        <v>0.114</v>
      </c>
      <c r="H259" s="1" t="n">
        <v>19</v>
      </c>
      <c r="I259" s="1" t="n">
        <v>82.7</v>
      </c>
      <c r="J259" s="1" t="n">
        <v>2.74</v>
      </c>
      <c r="K259" s="1" t="n">
        <v>0</v>
      </c>
      <c r="L259" s="1" t="n">
        <v>4.6</v>
      </c>
      <c r="M259" s="1" t="n">
        <v>697888.09</v>
      </c>
      <c r="N259" s="1" t="n">
        <v>116249.87</v>
      </c>
    </row>
    <row r="260" customFormat="false" ht="15" hidden="false" customHeight="true" outlineLevel="0" collapsed="false">
      <c r="A260" s="1" t="s">
        <v>86</v>
      </c>
      <c r="B260" s="3" t="n">
        <v>45717</v>
      </c>
      <c r="C260" s="1" t="s">
        <v>24</v>
      </c>
      <c r="D260" s="1" t="s">
        <v>28</v>
      </c>
      <c r="E260" s="1" t="n">
        <v>44189.34</v>
      </c>
      <c r="F260" s="1" t="n">
        <v>8634</v>
      </c>
      <c r="G260" s="1" t="n">
        <v>0.143</v>
      </c>
      <c r="H260" s="1" t="n">
        <v>19</v>
      </c>
      <c r="I260" s="1" t="n">
        <v>87.5</v>
      </c>
      <c r="J260" s="1" t="n">
        <v>3.69</v>
      </c>
      <c r="K260" s="1" t="n">
        <v>0</v>
      </c>
      <c r="L260" s="1" t="n">
        <v>4.4</v>
      </c>
      <c r="M260" s="1" t="n">
        <v>746115.59</v>
      </c>
      <c r="N260" s="1" t="n">
        <v>94662.96</v>
      </c>
    </row>
    <row r="261" customFormat="false" ht="15" hidden="false" customHeight="true" outlineLevel="0" collapsed="false">
      <c r="A261" s="1" t="s">
        <v>86</v>
      </c>
      <c r="B261" s="3" t="n">
        <v>45748</v>
      </c>
      <c r="C261" s="1" t="s">
        <v>24</v>
      </c>
      <c r="D261" s="1" t="s">
        <v>28</v>
      </c>
      <c r="E261" s="1" t="n">
        <v>38397.82</v>
      </c>
      <c r="F261" s="1" t="n">
        <v>7836</v>
      </c>
      <c r="G261" s="1" t="n">
        <v>0.007</v>
      </c>
      <c r="H261" s="1" t="n">
        <v>21</v>
      </c>
      <c r="I261" s="1" t="n">
        <v>92.2</v>
      </c>
      <c r="J261" s="1" t="n">
        <v>1.82</v>
      </c>
      <c r="K261" s="1" t="n">
        <v>0</v>
      </c>
      <c r="L261" s="1" t="n">
        <v>3.6</v>
      </c>
      <c r="M261" s="1" t="n">
        <v>776110.32</v>
      </c>
      <c r="N261" s="1" t="n">
        <v>139676.21</v>
      </c>
    </row>
    <row r="262" customFormat="false" ht="15" hidden="false" customHeight="true" outlineLevel="0" collapsed="false">
      <c r="A262" s="1" t="s">
        <v>87</v>
      </c>
      <c r="B262" s="3" t="n">
        <v>45658</v>
      </c>
      <c r="C262" s="1" t="s">
        <v>27</v>
      </c>
      <c r="D262" s="1" t="s">
        <v>18</v>
      </c>
      <c r="E262" s="1" t="n">
        <v>14519.37</v>
      </c>
      <c r="F262" s="1" t="n">
        <v>3047</v>
      </c>
      <c r="G262" s="1" t="n">
        <v>0.135</v>
      </c>
      <c r="H262" s="1" t="n">
        <v>10</v>
      </c>
      <c r="I262" s="1" t="n">
        <v>90.3</v>
      </c>
      <c r="J262" s="1" t="n">
        <v>6.62</v>
      </c>
      <c r="K262" s="1" t="n">
        <v>0</v>
      </c>
      <c r="L262" s="1" t="n">
        <v>4.2</v>
      </c>
      <c r="M262" s="1" t="n">
        <v>528852.62</v>
      </c>
      <c r="N262" s="1" t="n">
        <v>68426.21</v>
      </c>
    </row>
    <row r="263" customFormat="false" ht="15" hidden="false" customHeight="true" outlineLevel="0" collapsed="false">
      <c r="A263" s="1" t="s">
        <v>87</v>
      </c>
      <c r="B263" s="3" t="n">
        <v>45689</v>
      </c>
      <c r="C263" s="1" t="s">
        <v>27</v>
      </c>
      <c r="D263" s="1" t="s">
        <v>18</v>
      </c>
      <c r="E263" s="1" t="n">
        <v>43288.2</v>
      </c>
      <c r="F263" s="1" t="n">
        <v>4783</v>
      </c>
      <c r="G263" s="1" t="n">
        <v>0.169</v>
      </c>
      <c r="H263" s="1" t="n">
        <v>13</v>
      </c>
      <c r="I263" s="1" t="n">
        <v>87.3</v>
      </c>
      <c r="K263" s="1" t="n">
        <v>0</v>
      </c>
      <c r="L263" s="1" t="n">
        <v>4.2</v>
      </c>
      <c r="M263" s="1" t="n">
        <v>605751.33</v>
      </c>
      <c r="N263" s="1" t="n">
        <v>60685.53</v>
      </c>
    </row>
    <row r="264" customFormat="false" ht="15" hidden="false" customHeight="true" outlineLevel="0" collapsed="false">
      <c r="A264" s="1" t="s">
        <v>87</v>
      </c>
      <c r="B264" s="3" t="n">
        <v>45717</v>
      </c>
      <c r="C264" s="1" t="s">
        <v>27</v>
      </c>
      <c r="D264" s="1" t="s">
        <v>18</v>
      </c>
      <c r="E264" s="1" t="n">
        <v>51450.55</v>
      </c>
      <c r="F264" s="1" t="n">
        <v>4902</v>
      </c>
      <c r="G264" s="1" t="n">
        <v>0.086</v>
      </c>
      <c r="H264" s="1" t="n">
        <v>11</v>
      </c>
      <c r="I264" s="1" t="n">
        <v>83.7</v>
      </c>
      <c r="J264" s="1" t="n">
        <v>6.92</v>
      </c>
      <c r="K264" s="1" t="n">
        <v>1</v>
      </c>
      <c r="L264" s="1" t="n">
        <v>4.2</v>
      </c>
      <c r="M264" s="1" t="n">
        <v>677640.65</v>
      </c>
      <c r="N264" s="1" t="n">
        <v>111610.89</v>
      </c>
    </row>
    <row r="265" customFormat="false" ht="15" hidden="false" customHeight="true" outlineLevel="0" collapsed="false">
      <c r="A265" s="1" t="s">
        <v>87</v>
      </c>
      <c r="B265" s="3" t="n">
        <v>45748</v>
      </c>
      <c r="C265" s="1" t="s">
        <v>27</v>
      </c>
      <c r="D265" s="1" t="s">
        <v>18</v>
      </c>
      <c r="E265" s="1" t="n">
        <v>58688.26</v>
      </c>
      <c r="F265" s="1" t="n">
        <v>4022</v>
      </c>
      <c r="G265" s="1" t="n">
        <v>0.217</v>
      </c>
      <c r="H265" s="1" t="n">
        <v>12</v>
      </c>
      <c r="I265" s="1" t="n">
        <v>93.8</v>
      </c>
      <c r="J265" s="1" t="n">
        <v>11.78</v>
      </c>
      <c r="K265" s="1" t="n">
        <v>0</v>
      </c>
      <c r="L265" s="1" t="n">
        <v>3.7</v>
      </c>
      <c r="M265" s="1" t="n">
        <v>636613.23</v>
      </c>
      <c r="N265" s="1" t="n">
        <v>78908.35</v>
      </c>
    </row>
    <row r="266" customFormat="false" ht="15" hidden="false" customHeight="true" outlineLevel="0" collapsed="false">
      <c r="A266" s="1" t="s">
        <v>88</v>
      </c>
      <c r="B266" s="3" t="n">
        <v>45658</v>
      </c>
      <c r="C266" s="1" t="s">
        <v>15</v>
      </c>
      <c r="D266" s="1" t="s">
        <v>18</v>
      </c>
      <c r="E266" s="1" t="n">
        <v>58981.91</v>
      </c>
      <c r="F266" s="1" t="n">
        <v>7324</v>
      </c>
      <c r="G266" s="1" t="n">
        <v>0.094</v>
      </c>
      <c r="H266" s="1" t="n">
        <v>15</v>
      </c>
      <c r="I266" s="1" t="n">
        <v>95.8</v>
      </c>
      <c r="J266" s="1" t="n">
        <v>0.5</v>
      </c>
      <c r="K266" s="1" t="n">
        <v>0</v>
      </c>
      <c r="L266" s="1" t="n">
        <v>3.5</v>
      </c>
      <c r="M266" s="1" t="n">
        <v>708985.19</v>
      </c>
      <c r="N266" s="1" t="n">
        <v>125368.16</v>
      </c>
    </row>
    <row r="267" customFormat="false" ht="15" hidden="false" customHeight="true" outlineLevel="0" collapsed="false">
      <c r="A267" s="1" t="s">
        <v>88</v>
      </c>
      <c r="B267" s="3" t="n">
        <v>45689</v>
      </c>
      <c r="C267" s="1" t="s">
        <v>15</v>
      </c>
      <c r="D267" s="1" t="s">
        <v>18</v>
      </c>
      <c r="E267" s="1" t="n">
        <v>73454.54</v>
      </c>
      <c r="F267" s="1" t="n">
        <v>8129</v>
      </c>
      <c r="G267" s="1" t="n">
        <v>0.211</v>
      </c>
      <c r="H267" s="1" t="n">
        <v>20</v>
      </c>
      <c r="I267" s="1" t="n">
        <v>85.2</v>
      </c>
      <c r="J267" s="1" t="n">
        <v>0.88</v>
      </c>
      <c r="K267" s="1" t="n">
        <v>0</v>
      </c>
      <c r="L267" s="1" t="n">
        <v>3.7</v>
      </c>
      <c r="M267" s="1" t="n">
        <v>767792.94</v>
      </c>
      <c r="N267" s="1" t="n">
        <v>96235.77</v>
      </c>
    </row>
    <row r="268" customFormat="false" ht="15" hidden="false" customHeight="true" outlineLevel="0" collapsed="false">
      <c r="A268" s="1" t="s">
        <v>88</v>
      </c>
      <c r="B268" s="3" t="n">
        <v>45717</v>
      </c>
      <c r="C268" s="1" t="s">
        <v>15</v>
      </c>
      <c r="D268" s="1" t="s">
        <v>18</v>
      </c>
      <c r="E268" s="1" t="n">
        <v>56602.39</v>
      </c>
      <c r="F268" s="1" t="n">
        <v>7969</v>
      </c>
      <c r="G268" s="1" t="n">
        <v>0.17</v>
      </c>
      <c r="H268" s="1" t="n">
        <v>21</v>
      </c>
      <c r="I268" s="1" t="n">
        <v>88.3</v>
      </c>
      <c r="J268" s="1" t="n">
        <v>2.25</v>
      </c>
      <c r="K268" s="1" t="n">
        <v>0</v>
      </c>
      <c r="L268" s="1" t="n">
        <v>3.7</v>
      </c>
      <c r="M268" s="1" t="n">
        <v>745580.51</v>
      </c>
      <c r="N268" s="1" t="n">
        <v>116273.68</v>
      </c>
    </row>
    <row r="269" customFormat="false" ht="15" hidden="false" customHeight="true" outlineLevel="0" collapsed="false">
      <c r="A269" s="1" t="s">
        <v>88</v>
      </c>
      <c r="B269" s="3" t="n">
        <v>45748</v>
      </c>
      <c r="C269" s="1" t="s">
        <v>15</v>
      </c>
      <c r="D269" s="1" t="s">
        <v>18</v>
      </c>
      <c r="E269" s="1" t="n">
        <v>67722.29</v>
      </c>
      <c r="F269" s="1" t="n">
        <v>7240</v>
      </c>
      <c r="G269" s="1" t="n">
        <v>0.026</v>
      </c>
      <c r="H269" s="1" t="n">
        <v>15</v>
      </c>
      <c r="I269" s="1" t="n">
        <v>92.9</v>
      </c>
      <c r="J269" s="1" t="n">
        <v>0.29</v>
      </c>
      <c r="K269" s="1" t="n">
        <v>0</v>
      </c>
      <c r="L269" s="1" t="n">
        <v>3.5</v>
      </c>
      <c r="M269" s="1" t="n">
        <v>762328.31</v>
      </c>
      <c r="N269" s="1" t="n">
        <v>159158.19</v>
      </c>
    </row>
    <row r="270" customFormat="false" ht="15" hidden="false" customHeight="true" outlineLevel="0" collapsed="false">
      <c r="A270" s="1" t="s">
        <v>89</v>
      </c>
      <c r="B270" s="3" t="n">
        <v>45658</v>
      </c>
      <c r="C270" s="1" t="s">
        <v>15</v>
      </c>
      <c r="D270" s="1" t="s">
        <v>28</v>
      </c>
      <c r="E270" s="1" t="n">
        <v>48752.92</v>
      </c>
      <c r="F270" s="1" t="n">
        <v>8052</v>
      </c>
      <c r="G270" s="1" t="n">
        <v>0.106</v>
      </c>
      <c r="H270" s="1" t="n">
        <v>16</v>
      </c>
      <c r="I270" s="1" t="n">
        <v>94.9</v>
      </c>
      <c r="J270" s="1" t="n">
        <v>0.65</v>
      </c>
      <c r="K270" s="1" t="n">
        <v>0</v>
      </c>
      <c r="L270" s="1" t="n">
        <v>3.6</v>
      </c>
      <c r="M270" s="1" t="n">
        <v>660633.99</v>
      </c>
      <c r="N270" s="1" t="n">
        <v>118768.66</v>
      </c>
    </row>
    <row r="271" customFormat="false" ht="15" hidden="false" customHeight="true" outlineLevel="0" collapsed="false">
      <c r="A271" s="1" t="s">
        <v>89</v>
      </c>
      <c r="B271" s="3" t="n">
        <v>45689</v>
      </c>
      <c r="C271" s="1" t="s">
        <v>15</v>
      </c>
      <c r="D271" s="1" t="s">
        <v>28</v>
      </c>
      <c r="E271" s="1" t="n">
        <v>23914.97</v>
      </c>
      <c r="F271" s="1" t="n">
        <v>8018</v>
      </c>
      <c r="G271" s="1" t="n">
        <v>0.139</v>
      </c>
      <c r="H271" s="1" t="n">
        <v>20</v>
      </c>
      <c r="I271" s="1" t="n">
        <v>89</v>
      </c>
      <c r="J271" s="1" t="n">
        <v>0.2</v>
      </c>
      <c r="K271" s="1" t="n">
        <v>0</v>
      </c>
      <c r="L271" s="1" t="n">
        <v>3.5</v>
      </c>
      <c r="M271" s="1" t="n">
        <v>739374.56</v>
      </c>
      <c r="N271" s="1" t="n">
        <v>121032.29</v>
      </c>
    </row>
    <row r="272" customFormat="false" ht="15" hidden="false" customHeight="true" outlineLevel="0" collapsed="false">
      <c r="A272" s="1" t="s">
        <v>89</v>
      </c>
      <c r="B272" s="3" t="n">
        <v>45717</v>
      </c>
      <c r="C272" s="1" t="s">
        <v>15</v>
      </c>
      <c r="D272" s="1" t="s">
        <v>28</v>
      </c>
      <c r="E272" s="1" t="n">
        <v>61995.3</v>
      </c>
      <c r="F272" s="1" t="n">
        <v>10192</v>
      </c>
      <c r="G272" s="1" t="n">
        <v>0.198</v>
      </c>
      <c r="H272" s="1" t="n">
        <v>21</v>
      </c>
      <c r="I272" s="1" t="n">
        <v>87.6</v>
      </c>
      <c r="J272" s="1" t="n">
        <v>3.63</v>
      </c>
      <c r="K272" s="1" t="n">
        <v>1</v>
      </c>
      <c r="L272" s="1" t="n">
        <v>3.8</v>
      </c>
      <c r="M272" s="1" t="n">
        <v>799756.46</v>
      </c>
      <c r="N272" s="1" t="n">
        <v>105052.93</v>
      </c>
    </row>
    <row r="273" customFormat="false" ht="15" hidden="false" customHeight="true" outlineLevel="0" collapsed="false">
      <c r="A273" s="1" t="s">
        <v>89</v>
      </c>
      <c r="B273" s="3" t="n">
        <v>45748</v>
      </c>
      <c r="C273" s="1" t="s">
        <v>15</v>
      </c>
      <c r="D273" s="1" t="s">
        <v>28</v>
      </c>
      <c r="E273" s="1" t="n">
        <v>29344.93</v>
      </c>
      <c r="F273" s="1" t="n">
        <v>7446</v>
      </c>
      <c r="G273" s="1" t="n">
        <v>0.111</v>
      </c>
      <c r="H273" s="1" t="n">
        <v>15</v>
      </c>
      <c r="I273" s="1" t="n">
        <v>86.2</v>
      </c>
      <c r="J273" s="1" t="n">
        <v>0.2</v>
      </c>
      <c r="K273" s="1" t="n">
        <v>0</v>
      </c>
      <c r="L273" s="1" t="n">
        <v>3.2</v>
      </c>
      <c r="M273" s="1" t="n">
        <v>593343</v>
      </c>
      <c r="N273" s="1" t="n">
        <v>82832.24</v>
      </c>
    </row>
    <row r="274" customFormat="false" ht="15" hidden="false" customHeight="true" outlineLevel="0" collapsed="false">
      <c r="A274" s="1" t="s">
        <v>90</v>
      </c>
      <c r="B274" s="3" t="n">
        <v>45658</v>
      </c>
      <c r="C274" s="1" t="s">
        <v>27</v>
      </c>
      <c r="D274" s="1" t="s">
        <v>18</v>
      </c>
      <c r="E274" s="1" t="n">
        <v>50532.17</v>
      </c>
      <c r="F274" s="1" t="n">
        <v>5689</v>
      </c>
      <c r="G274" s="1" t="n">
        <v>0.052</v>
      </c>
      <c r="H274" s="1" t="n">
        <v>17</v>
      </c>
      <c r="I274" s="1" t="n">
        <v>85.6</v>
      </c>
      <c r="J274" s="1" t="n">
        <v>6.23</v>
      </c>
      <c r="K274" s="1" t="n">
        <v>0</v>
      </c>
      <c r="L274" s="1" t="n">
        <v>3.3</v>
      </c>
      <c r="M274" s="1" t="n">
        <v>645039.97</v>
      </c>
      <c r="N274" s="1" t="n">
        <v>83093.33</v>
      </c>
    </row>
    <row r="275" customFormat="false" ht="15" hidden="false" customHeight="true" outlineLevel="0" collapsed="false">
      <c r="A275" s="1" t="s">
        <v>90</v>
      </c>
      <c r="B275" s="3" t="n">
        <v>45689</v>
      </c>
      <c r="C275" s="1" t="s">
        <v>27</v>
      </c>
      <c r="D275" s="1" t="s">
        <v>18</v>
      </c>
      <c r="E275" s="1" t="n">
        <v>17562.57</v>
      </c>
      <c r="F275" s="1" t="n">
        <v>3326</v>
      </c>
      <c r="G275" s="1" t="n">
        <v>0.153</v>
      </c>
      <c r="H275" s="1" t="n">
        <v>14</v>
      </c>
      <c r="I275" s="1" t="n">
        <v>88.1</v>
      </c>
      <c r="J275" s="1" t="n">
        <v>1.04</v>
      </c>
      <c r="K275" s="1" t="n">
        <v>0</v>
      </c>
      <c r="L275" s="1" t="n">
        <v>3.1</v>
      </c>
      <c r="M275" s="1" t="n">
        <v>561597.33</v>
      </c>
      <c r="N275" s="1" t="n">
        <v>75072.75</v>
      </c>
    </row>
    <row r="276" customFormat="false" ht="15" hidden="false" customHeight="true" outlineLevel="0" collapsed="false">
      <c r="A276" s="1" t="s">
        <v>90</v>
      </c>
      <c r="B276" s="3" t="n">
        <v>45717</v>
      </c>
      <c r="C276" s="1" t="s">
        <v>27</v>
      </c>
      <c r="D276" s="1" t="s">
        <v>18</v>
      </c>
      <c r="E276" s="1" t="n">
        <v>47648.71</v>
      </c>
      <c r="F276" s="1" t="n">
        <v>5767</v>
      </c>
      <c r="G276" s="1" t="n">
        <v>0.141</v>
      </c>
      <c r="H276" s="1" t="n">
        <v>17</v>
      </c>
      <c r="I276" s="1" t="n">
        <v>89.8</v>
      </c>
      <c r="J276" s="1" t="n">
        <v>1.76</v>
      </c>
      <c r="K276" s="1" t="n">
        <v>0</v>
      </c>
      <c r="L276" s="1" t="n">
        <v>3.1</v>
      </c>
      <c r="M276" s="1" t="n">
        <v>635837.74</v>
      </c>
      <c r="N276" s="1" t="n">
        <v>114740.64</v>
      </c>
    </row>
    <row r="277" customFormat="false" ht="15" hidden="false" customHeight="true" outlineLevel="0" collapsed="false">
      <c r="A277" s="1" t="s">
        <v>90</v>
      </c>
      <c r="B277" s="3" t="n">
        <v>45748</v>
      </c>
      <c r="C277" s="1" t="s">
        <v>27</v>
      </c>
      <c r="D277" s="1" t="s">
        <v>18</v>
      </c>
      <c r="E277" s="1" t="n">
        <v>38297.58</v>
      </c>
      <c r="F277" s="1" t="n">
        <v>5893</v>
      </c>
      <c r="G277" s="1" t="n">
        <v>0.247</v>
      </c>
      <c r="H277" s="1" t="n">
        <v>18</v>
      </c>
      <c r="I277" s="1" t="n">
        <v>77.6</v>
      </c>
      <c r="J277" s="1" t="n">
        <v>2.86</v>
      </c>
      <c r="K277" s="1" t="n">
        <v>0</v>
      </c>
      <c r="L277" s="1" t="n">
        <v>3</v>
      </c>
      <c r="M277" s="1" t="n">
        <v>686737.87</v>
      </c>
      <c r="N277" s="1" t="n">
        <v>83839.67</v>
      </c>
    </row>
    <row r="278" customFormat="false" ht="15" hidden="false" customHeight="true" outlineLevel="0" collapsed="false">
      <c r="A278" s="1" t="s">
        <v>91</v>
      </c>
      <c r="B278" s="3" t="n">
        <v>45658</v>
      </c>
      <c r="C278" s="1" t="s">
        <v>24</v>
      </c>
      <c r="D278" s="1" t="s">
        <v>16</v>
      </c>
      <c r="E278" s="1" t="n">
        <v>61784.11</v>
      </c>
      <c r="F278" s="1" t="n">
        <v>8564</v>
      </c>
      <c r="G278" s="1" t="n">
        <v>0.13</v>
      </c>
      <c r="H278" s="1" t="n">
        <v>17</v>
      </c>
      <c r="I278" s="1" t="n">
        <v>87.4</v>
      </c>
      <c r="J278" s="1" t="n">
        <v>18.14</v>
      </c>
      <c r="K278" s="1" t="n">
        <v>1</v>
      </c>
      <c r="L278" s="1" t="n">
        <v>3.4</v>
      </c>
      <c r="M278" s="1" t="n">
        <v>673076.34</v>
      </c>
      <c r="N278" s="1" t="n">
        <v>93899.76</v>
      </c>
    </row>
    <row r="279" customFormat="false" ht="15" hidden="false" customHeight="true" outlineLevel="0" collapsed="false">
      <c r="A279" s="1" t="s">
        <v>91</v>
      </c>
      <c r="B279" s="3" t="n">
        <v>45689</v>
      </c>
      <c r="C279" s="1" t="s">
        <v>24</v>
      </c>
      <c r="D279" s="1" t="s">
        <v>16</v>
      </c>
      <c r="E279" s="1" t="n">
        <v>36832.33</v>
      </c>
      <c r="F279" s="1" t="n">
        <v>8001</v>
      </c>
      <c r="G279" s="1" t="n">
        <v>0</v>
      </c>
      <c r="H279" s="1" t="n">
        <v>19</v>
      </c>
      <c r="I279" s="1" t="n">
        <v>88.7</v>
      </c>
      <c r="J279" s="1" t="n">
        <v>3.39</v>
      </c>
      <c r="K279" s="1" t="n">
        <v>0</v>
      </c>
      <c r="L279" s="1" t="n">
        <v>4</v>
      </c>
      <c r="M279" s="1" t="n">
        <v>738548.42</v>
      </c>
      <c r="N279" s="1" t="n">
        <v>134282.77</v>
      </c>
    </row>
    <row r="280" customFormat="false" ht="15" hidden="false" customHeight="true" outlineLevel="0" collapsed="false">
      <c r="A280" s="1" t="s">
        <v>91</v>
      </c>
      <c r="B280" s="3" t="n">
        <v>45717</v>
      </c>
      <c r="C280" s="1" t="s">
        <v>24</v>
      </c>
      <c r="D280" s="1" t="s">
        <v>16</v>
      </c>
      <c r="E280" s="1" t="n">
        <v>48609.41</v>
      </c>
      <c r="F280" s="1" t="n">
        <v>9324</v>
      </c>
      <c r="G280" s="1" t="n">
        <v>0.213</v>
      </c>
      <c r="H280" s="1" t="n">
        <v>18</v>
      </c>
      <c r="I280" s="1" t="n">
        <v>86.5</v>
      </c>
      <c r="J280" s="1" t="n">
        <v>1.44</v>
      </c>
      <c r="K280" s="1" t="n">
        <v>0</v>
      </c>
      <c r="L280" s="1" t="n">
        <v>3.9</v>
      </c>
      <c r="M280" s="1" t="n">
        <v>756619.77</v>
      </c>
      <c r="N280" s="1" t="n">
        <v>112057.69</v>
      </c>
    </row>
    <row r="281" customFormat="false" ht="15" hidden="false" customHeight="true" outlineLevel="0" collapsed="false">
      <c r="A281" s="1" t="s">
        <v>91</v>
      </c>
      <c r="B281" s="3" t="n">
        <v>45748</v>
      </c>
      <c r="C281" s="1" t="s">
        <v>24</v>
      </c>
      <c r="D281" s="1" t="s">
        <v>16</v>
      </c>
      <c r="E281" s="1" t="n">
        <v>70284.06</v>
      </c>
      <c r="F281" s="1" t="n">
        <v>9109</v>
      </c>
      <c r="G281" s="1" t="n">
        <v>0.004</v>
      </c>
      <c r="H281" s="1" t="n">
        <v>23</v>
      </c>
      <c r="I281" s="1" t="n">
        <v>87</v>
      </c>
      <c r="J281" s="1" t="n">
        <v>3.65</v>
      </c>
      <c r="K281" s="1" t="n">
        <v>0</v>
      </c>
      <c r="L281" s="1" t="n">
        <v>3.7</v>
      </c>
      <c r="M281" s="1" t="n">
        <v>761122.42</v>
      </c>
      <c r="N281" s="1" t="n">
        <v>149802.04</v>
      </c>
    </row>
    <row r="282" customFormat="false" ht="15" hidden="false" customHeight="true" outlineLevel="0" collapsed="false">
      <c r="A282" s="1" t="s">
        <v>92</v>
      </c>
      <c r="B282" s="3" t="n">
        <v>45658</v>
      </c>
      <c r="C282" s="1" t="s">
        <v>24</v>
      </c>
      <c r="D282" s="1" t="s">
        <v>18</v>
      </c>
      <c r="E282" s="1" t="n">
        <v>45940.39</v>
      </c>
      <c r="F282" s="1" t="n">
        <v>4022</v>
      </c>
      <c r="G282" s="1" t="n">
        <v>0.069</v>
      </c>
      <c r="H282" s="1" t="n">
        <v>10</v>
      </c>
      <c r="I282" s="1" t="n">
        <v>83</v>
      </c>
      <c r="J282" s="1" t="n">
        <v>1.23</v>
      </c>
      <c r="K282" s="1" t="n">
        <v>1</v>
      </c>
      <c r="L282" s="1" t="n">
        <v>3.8</v>
      </c>
      <c r="M282" s="1" t="n">
        <v>524899.57</v>
      </c>
      <c r="N282" s="1" t="n">
        <v>63619.98</v>
      </c>
    </row>
    <row r="283" customFormat="false" ht="15" hidden="false" customHeight="true" outlineLevel="0" collapsed="false">
      <c r="A283" s="1" t="s">
        <v>92</v>
      </c>
      <c r="B283" s="3" t="n">
        <v>45689</v>
      </c>
      <c r="C283" s="1" t="s">
        <v>24</v>
      </c>
      <c r="D283" s="1" t="s">
        <v>18</v>
      </c>
      <c r="E283" s="1" t="n">
        <v>34771.26</v>
      </c>
      <c r="F283" s="1" t="n">
        <v>4355</v>
      </c>
      <c r="G283" s="1" t="n">
        <v>0.051</v>
      </c>
      <c r="H283" s="1" t="n">
        <v>15</v>
      </c>
      <c r="I283" s="1" t="n">
        <v>87.9</v>
      </c>
      <c r="J283" s="1" t="n">
        <v>3.09</v>
      </c>
      <c r="K283" s="1" t="n">
        <v>0</v>
      </c>
      <c r="L283" s="1" t="n">
        <v>4</v>
      </c>
      <c r="M283" s="1" t="n">
        <v>555557.77</v>
      </c>
      <c r="N283" s="1" t="n">
        <v>86475.51</v>
      </c>
    </row>
    <row r="284" customFormat="false" ht="15" hidden="false" customHeight="true" outlineLevel="0" collapsed="false">
      <c r="A284" s="1" t="s">
        <v>92</v>
      </c>
      <c r="B284" s="3" t="n">
        <v>45717</v>
      </c>
      <c r="C284" s="1" t="s">
        <v>24</v>
      </c>
      <c r="D284" s="1" t="s">
        <v>18</v>
      </c>
      <c r="E284" s="1" t="n">
        <v>66104.19</v>
      </c>
      <c r="F284" s="1" t="n">
        <v>5745</v>
      </c>
      <c r="G284" s="1" t="n">
        <v>0.07</v>
      </c>
      <c r="H284" s="1" t="n">
        <v>17</v>
      </c>
      <c r="I284" s="1" t="n">
        <v>95.8</v>
      </c>
      <c r="J284" s="1" t="n">
        <v>3.15</v>
      </c>
      <c r="K284" s="1" t="n">
        <v>0</v>
      </c>
      <c r="L284" s="1" t="n">
        <v>4</v>
      </c>
      <c r="M284" s="1" t="n">
        <v>714083.68</v>
      </c>
      <c r="N284" s="1" t="n">
        <v>127231.74</v>
      </c>
    </row>
    <row r="285" customFormat="false" ht="15" hidden="false" customHeight="true" outlineLevel="0" collapsed="false">
      <c r="A285" s="1" t="s">
        <v>92</v>
      </c>
      <c r="B285" s="3" t="n">
        <v>45748</v>
      </c>
      <c r="C285" s="1" t="s">
        <v>24</v>
      </c>
      <c r="D285" s="1" t="s">
        <v>18</v>
      </c>
      <c r="E285" s="1" t="n">
        <v>18599.21</v>
      </c>
      <c r="F285" s="1" t="n">
        <v>3027</v>
      </c>
      <c r="G285" s="1" t="n">
        <v>0.122</v>
      </c>
      <c r="H285" s="1" t="n">
        <v>11</v>
      </c>
      <c r="I285" s="1" t="n">
        <v>80.9</v>
      </c>
      <c r="J285" s="1" t="n">
        <v>6.44</v>
      </c>
      <c r="K285" s="1" t="n">
        <v>0</v>
      </c>
      <c r="L285" s="1" t="n">
        <v>4.2</v>
      </c>
      <c r="M285" s="1" t="n">
        <v>497439.82</v>
      </c>
      <c r="N285" s="1" t="n">
        <v>93372.75</v>
      </c>
    </row>
    <row r="286" customFormat="false" ht="15" hidden="false" customHeight="true" outlineLevel="0" collapsed="false">
      <c r="A286" s="1" t="s">
        <v>93</v>
      </c>
      <c r="B286" s="3" t="n">
        <v>45658</v>
      </c>
      <c r="C286" s="1" t="s">
        <v>27</v>
      </c>
      <c r="D286" s="1" t="s">
        <v>16</v>
      </c>
      <c r="E286" s="1" t="n">
        <v>60183.06</v>
      </c>
      <c r="F286" s="1" t="n">
        <v>5562</v>
      </c>
      <c r="G286" s="1" t="n">
        <v>0.009</v>
      </c>
      <c r="H286" s="1" t="n">
        <v>13</v>
      </c>
      <c r="I286" s="1" t="n">
        <v>86.3</v>
      </c>
      <c r="J286" s="1" t="n">
        <v>0.2</v>
      </c>
      <c r="K286" s="1" t="n">
        <v>1</v>
      </c>
      <c r="L286" s="1" t="n">
        <v>4.5</v>
      </c>
      <c r="M286" s="1" t="n">
        <v>636775.66</v>
      </c>
      <c r="N286" s="1" t="n">
        <v>122636.86</v>
      </c>
    </row>
    <row r="287" customFormat="false" ht="15" hidden="false" customHeight="true" outlineLevel="0" collapsed="false">
      <c r="A287" s="1" t="s">
        <v>93</v>
      </c>
      <c r="B287" s="3" t="n">
        <v>45689</v>
      </c>
      <c r="C287" s="1" t="s">
        <v>27</v>
      </c>
      <c r="D287" s="1" t="s">
        <v>16</v>
      </c>
      <c r="E287" s="1" t="n">
        <v>74539.14</v>
      </c>
      <c r="F287" s="1" t="n">
        <v>4487</v>
      </c>
      <c r="G287" s="1" t="n">
        <v>0.14</v>
      </c>
      <c r="H287" s="1" t="n">
        <v>10</v>
      </c>
      <c r="I287" s="1" t="n">
        <v>90.4</v>
      </c>
      <c r="J287" s="1" t="n">
        <v>0.59</v>
      </c>
      <c r="K287" s="1" t="n">
        <v>0</v>
      </c>
      <c r="L287" s="1" t="n">
        <v>4.5</v>
      </c>
      <c r="M287" s="1" t="n">
        <v>633009.53</v>
      </c>
      <c r="N287" s="1" t="n">
        <v>123782.67</v>
      </c>
    </row>
    <row r="288" customFormat="false" ht="15" hidden="false" customHeight="true" outlineLevel="0" collapsed="false">
      <c r="A288" s="1" t="s">
        <v>93</v>
      </c>
      <c r="B288" s="3" t="n">
        <v>45717</v>
      </c>
      <c r="C288" s="1" t="s">
        <v>27</v>
      </c>
      <c r="D288" s="1" t="s">
        <v>16</v>
      </c>
      <c r="E288" s="1" t="n">
        <v>55371.97</v>
      </c>
      <c r="F288" s="1" t="n">
        <v>4162</v>
      </c>
      <c r="G288" s="1" t="n">
        <v>0.183</v>
      </c>
      <c r="H288" s="1" t="n">
        <v>11</v>
      </c>
      <c r="I288" s="1" t="n">
        <v>92</v>
      </c>
      <c r="J288" s="1" t="n">
        <v>0.2</v>
      </c>
      <c r="K288" s="1" t="n">
        <v>1</v>
      </c>
      <c r="L288" s="1" t="n">
        <v>4.2</v>
      </c>
      <c r="M288" s="1" t="n">
        <v>609949</v>
      </c>
      <c r="N288" s="1" t="n">
        <v>126789.25</v>
      </c>
    </row>
    <row r="289" customFormat="false" ht="15" hidden="false" customHeight="true" outlineLevel="0" collapsed="false">
      <c r="A289" s="1" t="s">
        <v>93</v>
      </c>
      <c r="B289" s="3" t="n">
        <v>45748</v>
      </c>
      <c r="C289" s="1" t="s">
        <v>27</v>
      </c>
      <c r="D289" s="1" t="s">
        <v>16</v>
      </c>
      <c r="E289" s="1" t="n">
        <v>40928.69</v>
      </c>
      <c r="F289" s="1" t="n">
        <v>4094</v>
      </c>
      <c r="G289" s="1" t="n">
        <v>0.174</v>
      </c>
      <c r="H289" s="1" t="n">
        <v>13</v>
      </c>
      <c r="I289" s="1" t="n">
        <v>82.4</v>
      </c>
      <c r="J289" s="1" t="n">
        <v>1.36</v>
      </c>
      <c r="K289" s="1" t="n">
        <v>0</v>
      </c>
      <c r="L289" s="1" t="n">
        <v>4.8</v>
      </c>
      <c r="M289" s="1" t="n">
        <v>548103.7</v>
      </c>
      <c r="N289" s="1" t="n">
        <v>99905.52</v>
      </c>
    </row>
    <row r="290" customFormat="false" ht="15" hidden="false" customHeight="true" outlineLevel="0" collapsed="false">
      <c r="A290" s="1" t="s">
        <v>94</v>
      </c>
      <c r="B290" s="3" t="n">
        <v>45658</v>
      </c>
      <c r="C290" s="1" t="s">
        <v>15</v>
      </c>
      <c r="D290" s="1" t="s">
        <v>16</v>
      </c>
      <c r="E290" s="1" t="n">
        <v>70012.41</v>
      </c>
      <c r="F290" s="1" t="n">
        <v>8484</v>
      </c>
      <c r="G290" s="1" t="n">
        <v>0.273</v>
      </c>
      <c r="H290" s="1" t="n">
        <v>23</v>
      </c>
      <c r="I290" s="1" t="n">
        <v>72.9</v>
      </c>
      <c r="J290" s="1" t="n">
        <v>3.34</v>
      </c>
      <c r="K290" s="1" t="n">
        <v>0</v>
      </c>
      <c r="L290" s="1" t="n">
        <v>3.7</v>
      </c>
      <c r="M290" s="1" t="n">
        <v>729424.42</v>
      </c>
      <c r="N290" s="1" t="n">
        <v>75592.28</v>
      </c>
    </row>
    <row r="291" customFormat="false" ht="15" hidden="false" customHeight="true" outlineLevel="0" collapsed="false">
      <c r="A291" s="1" t="s">
        <v>94</v>
      </c>
      <c r="B291" s="3" t="n">
        <v>45689</v>
      </c>
      <c r="C291" s="1" t="s">
        <v>15</v>
      </c>
      <c r="D291" s="1" t="s">
        <v>16</v>
      </c>
      <c r="E291" s="1" t="n">
        <v>68909.26</v>
      </c>
      <c r="F291" s="1" t="n">
        <v>7794</v>
      </c>
      <c r="G291" s="1" t="n">
        <v>0.284</v>
      </c>
      <c r="H291" s="1" t="n">
        <v>22</v>
      </c>
      <c r="I291" s="1" t="n">
        <v>89</v>
      </c>
      <c r="J291" s="1" t="n">
        <v>0.33</v>
      </c>
      <c r="K291" s="1" t="n">
        <v>0</v>
      </c>
      <c r="L291" s="1" t="n">
        <v>4</v>
      </c>
      <c r="M291" s="1" t="n">
        <v>696261.49</v>
      </c>
      <c r="N291" s="1" t="n">
        <v>72455.35</v>
      </c>
    </row>
    <row r="292" customFormat="false" ht="15" hidden="false" customHeight="true" outlineLevel="0" collapsed="false">
      <c r="A292" s="1" t="s">
        <v>94</v>
      </c>
      <c r="B292" s="3" t="n">
        <v>45717</v>
      </c>
      <c r="C292" s="1" t="s">
        <v>15</v>
      </c>
      <c r="D292" s="1" t="s">
        <v>16</v>
      </c>
      <c r="E292" s="1" t="n">
        <v>56737.3</v>
      </c>
      <c r="F292" s="1" t="n">
        <v>8300</v>
      </c>
      <c r="G292" s="1" t="n">
        <v>0.032</v>
      </c>
      <c r="H292" s="1" t="n">
        <v>21</v>
      </c>
      <c r="I292" s="1" t="n">
        <v>83.2</v>
      </c>
      <c r="J292" s="1" t="n">
        <v>3.44</v>
      </c>
      <c r="K292" s="1" t="n">
        <v>1</v>
      </c>
      <c r="L292" s="1" t="n">
        <v>4.3</v>
      </c>
      <c r="M292" s="1" t="n">
        <v>813316.71</v>
      </c>
      <c r="N292" s="1" t="n">
        <v>110077.42</v>
      </c>
    </row>
    <row r="293" customFormat="false" ht="15" hidden="false" customHeight="true" outlineLevel="0" collapsed="false">
      <c r="A293" s="1" t="s">
        <v>94</v>
      </c>
      <c r="B293" s="3" t="n">
        <v>45748</v>
      </c>
      <c r="C293" s="1" t="s">
        <v>15</v>
      </c>
      <c r="D293" s="1" t="s">
        <v>16</v>
      </c>
      <c r="E293" s="1" t="n">
        <v>54080.91</v>
      </c>
      <c r="F293" s="1" t="n">
        <v>7083</v>
      </c>
      <c r="G293" s="1" t="n">
        <v>0</v>
      </c>
      <c r="H293" s="1" t="n">
        <v>15</v>
      </c>
      <c r="I293" s="1" t="n">
        <v>97</v>
      </c>
      <c r="J293" s="1" t="n">
        <v>5.33</v>
      </c>
      <c r="K293" s="1" t="n">
        <v>0</v>
      </c>
      <c r="L293" s="1" t="n">
        <v>4.1</v>
      </c>
      <c r="M293" s="1" t="n">
        <v>702068.92</v>
      </c>
      <c r="N293" s="1" t="n">
        <v>111266.63</v>
      </c>
    </row>
    <row r="294" customFormat="false" ht="15" hidden="false" customHeight="true" outlineLevel="0" collapsed="false">
      <c r="A294" s="1" t="s">
        <v>95</v>
      </c>
      <c r="B294" s="3" t="n">
        <v>45658</v>
      </c>
      <c r="C294" s="1" t="s">
        <v>27</v>
      </c>
      <c r="D294" s="1" t="s">
        <v>18</v>
      </c>
      <c r="E294" s="1" t="n">
        <v>51996.32</v>
      </c>
      <c r="F294" s="1" t="n">
        <v>3834</v>
      </c>
      <c r="G294" s="1" t="n">
        <v>0.096</v>
      </c>
      <c r="H294" s="1" t="n">
        <v>8</v>
      </c>
      <c r="I294" s="1" t="n">
        <v>86.7</v>
      </c>
      <c r="J294" s="1" t="n">
        <v>6.04</v>
      </c>
      <c r="K294" s="1" t="n">
        <v>0</v>
      </c>
      <c r="L294" s="1" t="n">
        <v>4.5</v>
      </c>
      <c r="M294" s="1" t="n">
        <v>546223.7</v>
      </c>
      <c r="N294" s="1" t="n">
        <v>100769.17</v>
      </c>
    </row>
    <row r="295" customFormat="false" ht="15" hidden="false" customHeight="true" outlineLevel="0" collapsed="false">
      <c r="A295" s="1" t="s">
        <v>95</v>
      </c>
      <c r="B295" s="3" t="n">
        <v>45689</v>
      </c>
      <c r="C295" s="1" t="s">
        <v>27</v>
      </c>
      <c r="D295" s="1" t="s">
        <v>18</v>
      </c>
      <c r="E295" s="1" t="n">
        <v>40102.88</v>
      </c>
      <c r="F295" s="1" t="n">
        <v>2358</v>
      </c>
      <c r="G295" s="1" t="n">
        <v>0.119</v>
      </c>
      <c r="H295" s="1" t="n">
        <v>9</v>
      </c>
      <c r="I295" s="1" t="n">
        <v>88.7</v>
      </c>
      <c r="J295" s="1" t="n">
        <v>1.6</v>
      </c>
      <c r="K295" s="1" t="n">
        <v>0</v>
      </c>
      <c r="L295" s="1" t="n">
        <v>4.2</v>
      </c>
      <c r="M295" s="1" t="n">
        <v>533121.26</v>
      </c>
      <c r="N295" s="1" t="n">
        <v>55063.39</v>
      </c>
    </row>
    <row r="296" customFormat="false" ht="15" hidden="false" customHeight="true" outlineLevel="0" collapsed="false">
      <c r="A296" s="1" t="s">
        <v>95</v>
      </c>
      <c r="B296" s="3" t="n">
        <v>45717</v>
      </c>
      <c r="C296" s="1" t="s">
        <v>27</v>
      </c>
      <c r="D296" s="1" t="s">
        <v>18</v>
      </c>
      <c r="E296" s="1" t="n">
        <v>59825.51</v>
      </c>
      <c r="F296" s="1" t="n">
        <v>1231</v>
      </c>
      <c r="G296" s="1" t="n">
        <v>0.214</v>
      </c>
      <c r="H296" s="1" t="n">
        <v>10</v>
      </c>
      <c r="I296" s="1" t="n">
        <v>84.8</v>
      </c>
      <c r="J296" s="1" t="n">
        <v>8.96</v>
      </c>
      <c r="K296" s="1" t="n">
        <v>0</v>
      </c>
      <c r="L296" s="1" t="n">
        <v>4.7</v>
      </c>
      <c r="M296" s="1" t="n">
        <v>498970.32</v>
      </c>
      <c r="N296" s="1" t="n">
        <v>69656.7</v>
      </c>
    </row>
    <row r="297" customFormat="false" ht="15" hidden="false" customHeight="true" outlineLevel="0" collapsed="false">
      <c r="A297" s="1" t="s">
        <v>95</v>
      </c>
      <c r="B297" s="3" t="n">
        <v>45748</v>
      </c>
      <c r="C297" s="1" t="s">
        <v>27</v>
      </c>
      <c r="D297" s="1" t="s">
        <v>18</v>
      </c>
      <c r="E297" s="1" t="n">
        <v>27398.28</v>
      </c>
      <c r="F297" s="1" t="n">
        <v>1723</v>
      </c>
      <c r="G297" s="1" t="n">
        <v>0.171</v>
      </c>
      <c r="H297" s="1" t="n">
        <v>9</v>
      </c>
      <c r="I297" s="1" t="n">
        <v>81</v>
      </c>
      <c r="J297" s="1" t="n">
        <v>0.74</v>
      </c>
      <c r="K297" s="1" t="n">
        <v>0</v>
      </c>
      <c r="L297" s="1" t="n">
        <v>4.6</v>
      </c>
      <c r="M297" s="1" t="n">
        <v>487738.26</v>
      </c>
      <c r="N297" s="1" t="n">
        <v>96435.6</v>
      </c>
    </row>
    <row r="298" customFormat="false" ht="15" hidden="false" customHeight="true" outlineLevel="0" collapsed="false">
      <c r="A298" s="1" t="s">
        <v>96</v>
      </c>
      <c r="B298" s="3" t="n">
        <v>45658</v>
      </c>
      <c r="C298" s="1" t="s">
        <v>27</v>
      </c>
      <c r="D298" s="1" t="s">
        <v>18</v>
      </c>
      <c r="E298" s="1" t="n">
        <v>55599.56</v>
      </c>
      <c r="F298" s="1" t="n">
        <v>5896</v>
      </c>
      <c r="G298" s="1" t="n">
        <v>0.036</v>
      </c>
      <c r="H298" s="1" t="n">
        <v>12</v>
      </c>
      <c r="I298" s="1" t="n">
        <v>93.1</v>
      </c>
      <c r="J298" s="1" t="n">
        <v>6.13</v>
      </c>
      <c r="K298" s="1" t="n">
        <v>0</v>
      </c>
      <c r="L298" s="1" t="n">
        <v>3.3</v>
      </c>
      <c r="M298" s="1" t="n">
        <v>668459.37</v>
      </c>
      <c r="N298" s="1" t="n">
        <v>126435.42</v>
      </c>
    </row>
    <row r="299" customFormat="false" ht="15" hidden="false" customHeight="true" outlineLevel="0" collapsed="false">
      <c r="A299" s="1" t="s">
        <v>96</v>
      </c>
      <c r="B299" s="3" t="n">
        <v>45689</v>
      </c>
      <c r="C299" s="1" t="s">
        <v>27</v>
      </c>
      <c r="D299" s="1" t="s">
        <v>18</v>
      </c>
      <c r="E299" s="1" t="n">
        <v>55477.61</v>
      </c>
      <c r="F299" s="1" t="n">
        <v>5903</v>
      </c>
      <c r="G299" s="1" t="n">
        <v>0.102</v>
      </c>
      <c r="H299" s="1" t="n">
        <v>14</v>
      </c>
      <c r="I299" s="1" t="n">
        <v>96.2</v>
      </c>
      <c r="J299" s="1" t="n">
        <v>1.41</v>
      </c>
      <c r="K299" s="1" t="n">
        <v>0</v>
      </c>
      <c r="L299" s="1" t="n">
        <v>3.3</v>
      </c>
      <c r="M299" s="1" t="n">
        <v>763162.45</v>
      </c>
      <c r="N299" s="1" t="n">
        <v>162524.05</v>
      </c>
    </row>
    <row r="300" customFormat="false" ht="15" hidden="false" customHeight="true" outlineLevel="0" collapsed="false">
      <c r="A300" s="1" t="s">
        <v>96</v>
      </c>
      <c r="B300" s="3" t="n">
        <v>45717</v>
      </c>
      <c r="C300" s="1" t="s">
        <v>27</v>
      </c>
      <c r="D300" s="1" t="s">
        <v>18</v>
      </c>
      <c r="E300" s="1" t="n">
        <v>46174.7</v>
      </c>
      <c r="F300" s="1" t="n">
        <v>4898</v>
      </c>
      <c r="G300" s="1" t="n">
        <v>0.114</v>
      </c>
      <c r="H300" s="1" t="n">
        <v>11</v>
      </c>
      <c r="I300" s="1" t="n">
        <v>91.7</v>
      </c>
      <c r="J300" s="1" t="n">
        <v>3.75</v>
      </c>
      <c r="K300" s="1" t="n">
        <v>0</v>
      </c>
      <c r="L300" s="1" t="n">
        <v>3.1</v>
      </c>
      <c r="M300" s="1" t="n">
        <v>599017.33</v>
      </c>
      <c r="N300" s="1" t="n">
        <v>134009.92</v>
      </c>
    </row>
    <row r="301" customFormat="false" ht="15" hidden="false" customHeight="true" outlineLevel="0" collapsed="false">
      <c r="A301" s="1" t="s">
        <v>96</v>
      </c>
      <c r="B301" s="3" t="n">
        <v>45748</v>
      </c>
      <c r="C301" s="1" t="s">
        <v>27</v>
      </c>
      <c r="D301" s="1" t="s">
        <v>18</v>
      </c>
      <c r="E301" s="1" t="n">
        <v>24362.98</v>
      </c>
      <c r="F301" s="1" t="n">
        <v>1462</v>
      </c>
      <c r="G301" s="1" t="n">
        <v>0.117</v>
      </c>
      <c r="H301" s="1" t="n">
        <v>6</v>
      </c>
      <c r="I301" s="1" t="n">
        <v>89.3</v>
      </c>
      <c r="J301" s="1" t="n">
        <v>15.06</v>
      </c>
      <c r="K301" s="1" t="n">
        <v>0</v>
      </c>
      <c r="L301" s="1" t="n">
        <v>3.2</v>
      </c>
      <c r="M301" s="1" t="n">
        <v>401582.58</v>
      </c>
      <c r="N301" s="1" t="n">
        <v>68454.93</v>
      </c>
    </row>
    <row r="302" customFormat="false" ht="15" hidden="false" customHeight="true" outlineLevel="0" collapsed="false">
      <c r="A302" s="1" t="s">
        <v>97</v>
      </c>
      <c r="B302" s="3" t="n">
        <v>45658</v>
      </c>
      <c r="C302" s="1" t="s">
        <v>20</v>
      </c>
      <c r="D302" s="1" t="s">
        <v>28</v>
      </c>
      <c r="E302" s="1" t="n">
        <v>40647.67</v>
      </c>
      <c r="F302" s="1" t="n">
        <v>8252</v>
      </c>
      <c r="G302" s="1" t="n">
        <v>0.141</v>
      </c>
      <c r="H302" s="1" t="n">
        <v>22</v>
      </c>
      <c r="I302" s="1" t="n">
        <v>88.2</v>
      </c>
      <c r="J302" s="1" t="n">
        <v>5.07</v>
      </c>
      <c r="K302" s="1" t="n">
        <v>1</v>
      </c>
      <c r="L302" s="1" t="n">
        <v>4.1</v>
      </c>
      <c r="M302" s="1" t="n">
        <v>703812.99</v>
      </c>
      <c r="N302" s="1" t="n">
        <v>133577.98</v>
      </c>
    </row>
    <row r="303" customFormat="false" ht="15" hidden="false" customHeight="true" outlineLevel="0" collapsed="false">
      <c r="A303" s="1" t="s">
        <v>97</v>
      </c>
      <c r="B303" s="3" t="n">
        <v>45689</v>
      </c>
      <c r="C303" s="1" t="s">
        <v>20</v>
      </c>
      <c r="D303" s="1" t="s">
        <v>28</v>
      </c>
      <c r="E303" s="1" t="n">
        <v>63986.98</v>
      </c>
      <c r="F303" s="1" t="n">
        <v>7989</v>
      </c>
      <c r="G303" s="1" t="n">
        <v>0.074</v>
      </c>
      <c r="H303" s="1" t="n">
        <v>20</v>
      </c>
      <c r="I303" s="1" t="n">
        <v>83.3</v>
      </c>
      <c r="J303" s="1" t="n">
        <v>3.6</v>
      </c>
      <c r="K303" s="1" t="n">
        <v>0</v>
      </c>
      <c r="L303" s="1" t="n">
        <v>3.7</v>
      </c>
      <c r="M303" s="1" t="n">
        <v>724346.73</v>
      </c>
      <c r="N303" s="1" t="n">
        <v>155013.91</v>
      </c>
    </row>
    <row r="304" customFormat="false" ht="15" hidden="false" customHeight="true" outlineLevel="0" collapsed="false">
      <c r="A304" s="1" t="s">
        <v>97</v>
      </c>
      <c r="B304" s="3" t="n">
        <v>45717</v>
      </c>
      <c r="C304" s="1" t="s">
        <v>20</v>
      </c>
      <c r="D304" s="1" t="s">
        <v>28</v>
      </c>
      <c r="E304" s="1" t="n">
        <v>52843.75</v>
      </c>
      <c r="F304" s="1" t="n">
        <v>8268</v>
      </c>
      <c r="G304" s="1" t="n">
        <v>0.138</v>
      </c>
      <c r="H304" s="1" t="n">
        <v>19</v>
      </c>
      <c r="I304" s="1" t="n">
        <v>87.3</v>
      </c>
      <c r="J304" s="1" t="n">
        <v>4.39</v>
      </c>
      <c r="K304" s="1" t="n">
        <v>1</v>
      </c>
      <c r="L304" s="1" t="n">
        <v>4.7</v>
      </c>
      <c r="M304" s="1" t="n">
        <v>730890.01</v>
      </c>
      <c r="N304" s="1" t="n">
        <v>105502.56</v>
      </c>
    </row>
    <row r="305" customFormat="false" ht="15" hidden="false" customHeight="true" outlineLevel="0" collapsed="false">
      <c r="A305" s="1" t="s">
        <v>97</v>
      </c>
      <c r="B305" s="3" t="n">
        <v>45748</v>
      </c>
      <c r="C305" s="1" t="s">
        <v>20</v>
      </c>
      <c r="D305" s="1" t="s">
        <v>28</v>
      </c>
      <c r="E305" s="1" t="n">
        <v>31997.25</v>
      </c>
      <c r="F305" s="1" t="n">
        <v>8183</v>
      </c>
      <c r="G305" s="1" t="n">
        <v>0.198</v>
      </c>
      <c r="H305" s="1" t="n">
        <v>18</v>
      </c>
      <c r="I305" s="1" t="n">
        <v>93</v>
      </c>
      <c r="J305" s="1" t="n">
        <v>2.79</v>
      </c>
      <c r="K305" s="1" t="n">
        <v>0</v>
      </c>
      <c r="L305" s="1" t="n">
        <v>4.2</v>
      </c>
      <c r="M305" s="1" t="n">
        <v>780580.95</v>
      </c>
      <c r="N305" s="1" t="n">
        <v>138144.46</v>
      </c>
    </row>
    <row r="306" customFormat="false" ht="15" hidden="false" customHeight="true" outlineLevel="0" collapsed="false">
      <c r="A306" s="1" t="s">
        <v>98</v>
      </c>
      <c r="B306" s="3" t="n">
        <v>45658</v>
      </c>
      <c r="C306" s="1" t="s">
        <v>24</v>
      </c>
      <c r="D306" s="1" t="s">
        <v>16</v>
      </c>
      <c r="E306" s="1" t="n">
        <v>54948.02</v>
      </c>
      <c r="F306" s="1" t="n">
        <v>6534</v>
      </c>
      <c r="G306" s="1" t="n">
        <v>0.183</v>
      </c>
      <c r="H306" s="1" t="n">
        <v>14</v>
      </c>
      <c r="I306" s="1" t="n">
        <v>94.5</v>
      </c>
      <c r="J306" s="1" t="n">
        <v>1.56</v>
      </c>
      <c r="K306" s="1" t="n">
        <v>0</v>
      </c>
      <c r="L306" s="1" t="n">
        <v>4</v>
      </c>
      <c r="M306" s="1" t="n">
        <v>727957.48</v>
      </c>
      <c r="N306" s="1" t="n">
        <v>74805.23</v>
      </c>
    </row>
    <row r="307" customFormat="false" ht="15" hidden="false" customHeight="true" outlineLevel="0" collapsed="false">
      <c r="A307" s="1" t="s">
        <v>98</v>
      </c>
      <c r="B307" s="3" t="n">
        <v>45689</v>
      </c>
      <c r="C307" s="1" t="s">
        <v>24</v>
      </c>
      <c r="D307" s="1" t="s">
        <v>16</v>
      </c>
      <c r="E307" s="1" t="n">
        <v>46146.24</v>
      </c>
      <c r="F307" s="1" t="n">
        <v>5804</v>
      </c>
      <c r="G307" s="1" t="n">
        <v>0.047</v>
      </c>
      <c r="H307" s="1" t="n">
        <v>16</v>
      </c>
      <c r="I307" s="1" t="n">
        <v>86.9</v>
      </c>
      <c r="J307" s="1" t="n">
        <v>15.82</v>
      </c>
      <c r="K307" s="1" t="n">
        <v>0</v>
      </c>
      <c r="L307" s="1" t="n">
        <v>3.8</v>
      </c>
      <c r="M307" s="1" t="n">
        <v>538376</v>
      </c>
      <c r="N307" s="1" t="n">
        <v>87605.62</v>
      </c>
    </row>
    <row r="308" customFormat="false" ht="15" hidden="false" customHeight="true" outlineLevel="0" collapsed="false">
      <c r="A308" s="1" t="s">
        <v>98</v>
      </c>
      <c r="B308" s="3" t="n">
        <v>45717</v>
      </c>
      <c r="C308" s="1" t="s">
        <v>24</v>
      </c>
      <c r="D308" s="1" t="s">
        <v>16</v>
      </c>
      <c r="E308" s="1" t="n">
        <v>22387.26</v>
      </c>
      <c r="F308" s="1" t="n">
        <v>6301</v>
      </c>
      <c r="G308" s="1" t="n">
        <v>0.146</v>
      </c>
      <c r="H308" s="1" t="n">
        <v>14</v>
      </c>
      <c r="I308" s="1" t="n">
        <v>85.9</v>
      </c>
      <c r="J308" s="1" t="n">
        <v>1.17</v>
      </c>
      <c r="K308" s="1" t="n">
        <v>1</v>
      </c>
      <c r="L308" s="1" t="n">
        <v>3.7</v>
      </c>
      <c r="M308" s="1" t="n">
        <v>665342.49</v>
      </c>
      <c r="N308" s="1" t="n">
        <v>93441.81</v>
      </c>
    </row>
    <row r="309" customFormat="false" ht="15" hidden="false" customHeight="true" outlineLevel="0" collapsed="false">
      <c r="A309" s="1" t="s">
        <v>98</v>
      </c>
      <c r="B309" s="3" t="n">
        <v>45748</v>
      </c>
      <c r="C309" s="1" t="s">
        <v>24</v>
      </c>
      <c r="D309" s="1" t="s">
        <v>16</v>
      </c>
      <c r="E309" s="1" t="n">
        <v>60684.05</v>
      </c>
      <c r="F309" s="1" t="n">
        <v>6399</v>
      </c>
      <c r="G309" s="1" t="n">
        <v>0.075</v>
      </c>
      <c r="H309" s="1" t="n">
        <v>16</v>
      </c>
      <c r="I309" s="1" t="n">
        <v>99</v>
      </c>
      <c r="J309" s="1" t="n">
        <v>3.82</v>
      </c>
      <c r="K309" s="1" t="n">
        <v>0</v>
      </c>
      <c r="L309" s="1" t="n">
        <v>3.5</v>
      </c>
      <c r="M309" s="1" t="n">
        <v>651164.18</v>
      </c>
      <c r="N309" s="1" t="n">
        <v>109466.5</v>
      </c>
    </row>
    <row r="310" customFormat="false" ht="15" hidden="false" customHeight="true" outlineLevel="0" collapsed="false">
      <c r="A310" s="1" t="s">
        <v>99</v>
      </c>
      <c r="B310" s="3" t="n">
        <v>45658</v>
      </c>
      <c r="C310" s="1" t="s">
        <v>24</v>
      </c>
      <c r="D310" s="1" t="s">
        <v>18</v>
      </c>
      <c r="E310" s="1" t="n">
        <v>48465.6</v>
      </c>
      <c r="F310" s="1" t="n">
        <v>5759</v>
      </c>
      <c r="G310" s="1" t="n">
        <v>0.154</v>
      </c>
      <c r="H310" s="1" t="n">
        <v>13</v>
      </c>
      <c r="I310" s="1" t="n">
        <v>87.5</v>
      </c>
      <c r="J310" s="1" t="n">
        <v>4.14</v>
      </c>
      <c r="K310" s="1" t="n">
        <v>0</v>
      </c>
      <c r="L310" s="1" t="n">
        <v>4</v>
      </c>
      <c r="M310" s="1" t="n">
        <v>628538.3</v>
      </c>
      <c r="N310" s="1" t="n">
        <v>112509.15</v>
      </c>
    </row>
    <row r="311" customFormat="false" ht="15" hidden="false" customHeight="true" outlineLevel="0" collapsed="false">
      <c r="A311" s="1" t="s">
        <v>99</v>
      </c>
      <c r="B311" s="3" t="n">
        <v>45689</v>
      </c>
      <c r="C311" s="1" t="s">
        <v>24</v>
      </c>
      <c r="D311" s="1" t="s">
        <v>18</v>
      </c>
      <c r="E311" s="1" t="n">
        <v>23702.38</v>
      </c>
      <c r="F311" s="1" t="n">
        <v>5285</v>
      </c>
      <c r="G311" s="1" t="n">
        <v>0.167</v>
      </c>
      <c r="H311" s="1" t="n">
        <v>14</v>
      </c>
      <c r="I311" s="1" t="n">
        <v>79.7</v>
      </c>
      <c r="J311" s="1" t="n">
        <v>1.1</v>
      </c>
      <c r="K311" s="1" t="n">
        <v>0</v>
      </c>
      <c r="L311" s="1" t="n">
        <v>4.3</v>
      </c>
      <c r="M311" s="1" t="n">
        <v>536524.84</v>
      </c>
      <c r="N311" s="1" t="n">
        <v>92752.94</v>
      </c>
    </row>
    <row r="312" customFormat="false" ht="15" hidden="false" customHeight="true" outlineLevel="0" collapsed="false">
      <c r="A312" s="1" t="s">
        <v>99</v>
      </c>
      <c r="B312" s="3" t="n">
        <v>45717</v>
      </c>
      <c r="C312" s="1" t="s">
        <v>24</v>
      </c>
      <c r="D312" s="1" t="s">
        <v>18</v>
      </c>
      <c r="E312" s="1" t="n">
        <v>54322.94</v>
      </c>
      <c r="F312" s="1" t="n">
        <v>5434</v>
      </c>
      <c r="G312" s="1" t="n">
        <v>0.2</v>
      </c>
      <c r="H312" s="1" t="n">
        <v>13</v>
      </c>
      <c r="I312" s="1" t="n">
        <v>85.7</v>
      </c>
      <c r="J312" s="1" t="n">
        <v>10.6</v>
      </c>
      <c r="K312" s="1" t="n">
        <v>0</v>
      </c>
      <c r="L312" s="1" t="n">
        <v>4.2</v>
      </c>
      <c r="M312" s="1" t="n">
        <v>621677.3</v>
      </c>
      <c r="N312" s="1" t="n">
        <v>105192.52</v>
      </c>
    </row>
    <row r="313" customFormat="false" ht="15" hidden="false" customHeight="true" outlineLevel="0" collapsed="false">
      <c r="A313" s="1" t="s">
        <v>99</v>
      </c>
      <c r="B313" s="3" t="n">
        <v>45748</v>
      </c>
      <c r="C313" s="1" t="s">
        <v>24</v>
      </c>
      <c r="D313" s="1" t="s">
        <v>18</v>
      </c>
      <c r="E313" s="1" t="n">
        <v>86026.58</v>
      </c>
      <c r="F313" s="1" t="n">
        <v>7479</v>
      </c>
      <c r="G313" s="1" t="n">
        <v>0.142</v>
      </c>
      <c r="H313" s="1" t="n">
        <v>20</v>
      </c>
      <c r="I313" s="1" t="n">
        <v>89</v>
      </c>
      <c r="J313" s="1" t="n">
        <v>0.9</v>
      </c>
      <c r="K313" s="1" t="n">
        <v>0</v>
      </c>
      <c r="M313" s="1" t="n">
        <v>771129.07</v>
      </c>
      <c r="N313" s="1" t="n">
        <v>116851.13</v>
      </c>
    </row>
    <row r="314" customFormat="false" ht="15" hidden="false" customHeight="true" outlineLevel="0" collapsed="false">
      <c r="A314" s="1" t="s">
        <v>100</v>
      </c>
      <c r="B314" s="3" t="n">
        <v>45658</v>
      </c>
      <c r="C314" s="1" t="s">
        <v>20</v>
      </c>
      <c r="D314" s="1" t="s">
        <v>16</v>
      </c>
      <c r="E314" s="1" t="n">
        <v>78967.52</v>
      </c>
      <c r="F314" s="1" t="n">
        <v>6164</v>
      </c>
      <c r="G314" s="1" t="n">
        <v>0.021</v>
      </c>
      <c r="H314" s="1" t="n">
        <v>16</v>
      </c>
      <c r="I314" s="1" t="n">
        <v>85.5</v>
      </c>
      <c r="J314" s="1" t="n">
        <v>0.2</v>
      </c>
      <c r="K314" s="1" t="n">
        <v>0</v>
      </c>
      <c r="L314" s="1" t="n">
        <v>3.4</v>
      </c>
      <c r="M314" s="1" t="n">
        <v>702052.47</v>
      </c>
      <c r="N314" s="1" t="n">
        <v>121732.51</v>
      </c>
    </row>
    <row r="315" customFormat="false" ht="15" hidden="false" customHeight="true" outlineLevel="0" collapsed="false">
      <c r="A315" s="1" t="s">
        <v>100</v>
      </c>
      <c r="B315" s="3" t="n">
        <v>45689</v>
      </c>
      <c r="C315" s="1" t="s">
        <v>20</v>
      </c>
      <c r="D315" s="1" t="s">
        <v>16</v>
      </c>
      <c r="E315" s="1" t="n">
        <v>46767.99</v>
      </c>
      <c r="F315" s="1" t="n">
        <v>7973</v>
      </c>
      <c r="G315" s="1" t="n">
        <v>0.183</v>
      </c>
      <c r="H315" s="1" t="n">
        <v>18</v>
      </c>
      <c r="I315" s="1" t="n">
        <v>94.8</v>
      </c>
      <c r="J315" s="1" t="n">
        <v>4.67</v>
      </c>
      <c r="K315" s="1" t="n">
        <v>0</v>
      </c>
      <c r="M315" s="1" t="n">
        <v>688368.46</v>
      </c>
      <c r="N315" s="1" t="n">
        <v>93588.42</v>
      </c>
    </row>
    <row r="316" customFormat="false" ht="15" hidden="false" customHeight="true" outlineLevel="0" collapsed="false">
      <c r="A316" s="1" t="s">
        <v>100</v>
      </c>
      <c r="B316" s="3" t="n">
        <v>45717</v>
      </c>
      <c r="C316" s="1" t="s">
        <v>20</v>
      </c>
      <c r="D316" s="1" t="s">
        <v>16</v>
      </c>
      <c r="E316" s="1" t="n">
        <v>62507.16</v>
      </c>
      <c r="F316" s="1" t="n">
        <v>6000</v>
      </c>
      <c r="G316" s="1" t="n">
        <v>0.091</v>
      </c>
      <c r="H316" s="1" t="n">
        <v>14</v>
      </c>
      <c r="I316" s="1" t="n">
        <v>98.2</v>
      </c>
      <c r="J316" s="1" t="n">
        <v>4.38</v>
      </c>
      <c r="K316" s="1" t="n">
        <v>1</v>
      </c>
      <c r="L316" s="1" t="n">
        <v>3.9</v>
      </c>
      <c r="M316" s="1" t="n">
        <v>712375.77</v>
      </c>
      <c r="N316" s="1" t="n">
        <v>104171.53</v>
      </c>
    </row>
    <row r="317" customFormat="false" ht="15" hidden="false" customHeight="true" outlineLevel="0" collapsed="false">
      <c r="A317" s="1" t="s">
        <v>100</v>
      </c>
      <c r="B317" s="3" t="n">
        <v>45748</v>
      </c>
      <c r="C317" s="1" t="s">
        <v>20</v>
      </c>
      <c r="D317" s="1" t="s">
        <v>16</v>
      </c>
      <c r="E317" s="1" t="n">
        <v>66456.28</v>
      </c>
      <c r="F317" s="1" t="n">
        <v>9967</v>
      </c>
      <c r="G317" s="1" t="n">
        <v>0.108</v>
      </c>
      <c r="H317" s="1" t="n">
        <v>20</v>
      </c>
      <c r="I317" s="1" t="n">
        <v>94.7</v>
      </c>
      <c r="J317" s="1" t="n">
        <v>4.48</v>
      </c>
      <c r="K317" s="1" t="n">
        <v>0</v>
      </c>
      <c r="L317" s="1" t="n">
        <v>4.2</v>
      </c>
      <c r="M317" s="1" t="n">
        <v>844710.67</v>
      </c>
      <c r="N317" s="1" t="n">
        <v>137140.18</v>
      </c>
    </row>
    <row r="318" customFormat="false" ht="15" hidden="false" customHeight="true" outlineLevel="0" collapsed="false">
      <c r="A318" s="1" t="s">
        <v>101</v>
      </c>
      <c r="B318" s="3" t="n">
        <v>45658</v>
      </c>
      <c r="C318" s="1" t="s">
        <v>15</v>
      </c>
      <c r="D318" s="1" t="s">
        <v>16</v>
      </c>
      <c r="E318" s="1" t="n">
        <v>76614.32</v>
      </c>
      <c r="F318" s="1" t="n">
        <v>5639</v>
      </c>
      <c r="G318" s="1" t="n">
        <v>0.174</v>
      </c>
      <c r="H318" s="1" t="n">
        <v>15</v>
      </c>
      <c r="I318" s="1" t="n">
        <v>92.9</v>
      </c>
      <c r="J318" s="1" t="n">
        <v>1.02</v>
      </c>
      <c r="K318" s="1" t="n">
        <v>1</v>
      </c>
      <c r="L318" s="1" t="n">
        <v>4</v>
      </c>
      <c r="M318" s="1" t="n">
        <v>620264.2</v>
      </c>
      <c r="N318" s="1" t="n">
        <v>91365.64</v>
      </c>
    </row>
    <row r="319" customFormat="false" ht="15" hidden="false" customHeight="true" outlineLevel="0" collapsed="false">
      <c r="A319" s="1" t="s">
        <v>101</v>
      </c>
      <c r="B319" s="3" t="n">
        <v>45689</v>
      </c>
      <c r="C319" s="1" t="s">
        <v>15</v>
      </c>
      <c r="D319" s="1" t="s">
        <v>16</v>
      </c>
      <c r="E319" s="1" t="n">
        <v>24088.06</v>
      </c>
      <c r="F319" s="1" t="n">
        <v>3466</v>
      </c>
      <c r="G319" s="1" t="n">
        <v>0</v>
      </c>
      <c r="H319" s="1" t="n">
        <v>11</v>
      </c>
      <c r="I319" s="1" t="n">
        <v>88</v>
      </c>
      <c r="J319" s="1" t="n">
        <v>0.2</v>
      </c>
      <c r="K319" s="1" t="n">
        <v>0</v>
      </c>
      <c r="L319" s="1" t="n">
        <v>3.8</v>
      </c>
      <c r="M319" s="1" t="n">
        <v>536845.42</v>
      </c>
      <c r="N319" s="1" t="n">
        <v>107473.75</v>
      </c>
    </row>
    <row r="320" customFormat="false" ht="15" hidden="false" customHeight="true" outlineLevel="0" collapsed="false">
      <c r="A320" s="1" t="s">
        <v>101</v>
      </c>
      <c r="B320" s="3" t="n">
        <v>45717</v>
      </c>
      <c r="C320" s="1" t="s">
        <v>15</v>
      </c>
      <c r="D320" s="1" t="s">
        <v>16</v>
      </c>
      <c r="E320" s="1" t="n">
        <v>81902.58</v>
      </c>
      <c r="F320" s="1" t="n">
        <v>7775</v>
      </c>
      <c r="G320" s="1" t="n">
        <v>0.215</v>
      </c>
      <c r="H320" s="1" t="n">
        <v>20</v>
      </c>
      <c r="I320" s="1" t="n">
        <v>85.2</v>
      </c>
      <c r="J320" s="1" t="n">
        <v>4.89</v>
      </c>
      <c r="K320" s="1" t="n">
        <v>1</v>
      </c>
      <c r="L320" s="1" t="n">
        <v>4.2</v>
      </c>
      <c r="M320" s="1" t="n">
        <v>726776.22</v>
      </c>
      <c r="N320" s="1" t="n">
        <v>90804.49</v>
      </c>
    </row>
    <row r="321" customFormat="false" ht="15" hidden="false" customHeight="true" outlineLevel="0" collapsed="false">
      <c r="A321" s="1" t="s">
        <v>101</v>
      </c>
      <c r="B321" s="3" t="n">
        <v>45748</v>
      </c>
      <c r="C321" s="1" t="s">
        <v>15</v>
      </c>
      <c r="D321" s="1" t="s">
        <v>16</v>
      </c>
      <c r="E321" s="1" t="n">
        <v>40553.11</v>
      </c>
      <c r="F321" s="1" t="n">
        <v>5317</v>
      </c>
      <c r="G321" s="1" t="n">
        <v>0.165</v>
      </c>
      <c r="H321" s="1" t="n">
        <v>17</v>
      </c>
      <c r="I321" s="1" t="n">
        <v>84.3</v>
      </c>
      <c r="J321" s="1" t="n">
        <v>11.82</v>
      </c>
      <c r="K321" s="1" t="n">
        <v>0</v>
      </c>
      <c r="L321" s="1" t="n">
        <v>4.1</v>
      </c>
      <c r="M321" s="1" t="n">
        <v>559660.84</v>
      </c>
      <c r="N321" s="1" t="n">
        <v>71443.61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10" min="3" style="1" width="16"/>
  </cols>
  <sheetData>
    <row r="1" customFormat="false" ht="17.25" hidden="false" customHeight="true" outlineLevel="0" collapsed="false">
      <c r="A1" s="4" t="s">
        <v>102</v>
      </c>
    </row>
    <row r="2" customFormat="false" ht="30" hidden="false" customHeight="true" outlineLevel="0" collapsed="false">
      <c r="A2" s="5" t="s">
        <v>103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27.75" hidden="false" customHeight="true" outlineLevel="0" collapsed="false">
      <c r="A4" s="6" t="s">
        <v>0</v>
      </c>
      <c r="B4" s="6" t="s">
        <v>1</v>
      </c>
      <c r="C4" s="6" t="s">
        <v>3</v>
      </c>
      <c r="D4" s="6" t="s">
        <v>2</v>
      </c>
      <c r="E4" s="6" t="s">
        <v>104</v>
      </c>
      <c r="F4" s="6" t="s">
        <v>105</v>
      </c>
      <c r="G4" s="6" t="s">
        <v>106</v>
      </c>
      <c r="H4" s="6" t="s">
        <v>107</v>
      </c>
      <c r="I4" s="6" t="s">
        <v>108</v>
      </c>
      <c r="J4" s="6" t="s">
        <v>109</v>
      </c>
    </row>
    <row r="5" customFormat="false" ht="15" hidden="false" customHeight="true" outlineLevel="0" collapsed="false">
      <c r="A5" s="1" t="str">
        <f aca="false">cleaned_data!A2</f>
        <v>STR-1001</v>
      </c>
      <c r="B5" s="3" t="n">
        <f aca="false">cleaned_data!B2</f>
        <v>45658</v>
      </c>
      <c r="C5" s="1" t="str">
        <f aca="false">cleaned_data!D2</f>
        <v>Residential</v>
      </c>
      <c r="D5" s="1" t="str">
        <f aca="false">cleaned_data!C2</f>
        <v>East</v>
      </c>
      <c r="E5" s="1" t="n">
        <f aca="false">IF(cleaned_data!D2="Mall",1,0)</f>
        <v>0</v>
      </c>
      <c r="F5" s="1" t="n">
        <f aca="false">IF(cleaned_data!D2="Residential",1,0)</f>
        <v>1</v>
      </c>
      <c r="G5" s="1" t="n">
        <f aca="false">IF(cleaned_data!D2="Airport",1,0)</f>
        <v>0</v>
      </c>
      <c r="H5" s="1" t="n">
        <f aca="false">IF(cleaned_data!C2="North",1,0)</f>
        <v>0</v>
      </c>
      <c r="I5" s="1" t="n">
        <f aca="false">IF(cleaned_data!C2="South",1,0)</f>
        <v>0</v>
      </c>
      <c r="J5" s="1" t="n">
        <f aca="false">IF(cleaned_data!C2="West",1,0)</f>
        <v>0</v>
      </c>
    </row>
    <row r="6" customFormat="false" ht="15" hidden="false" customHeight="true" outlineLevel="0" collapsed="false">
      <c r="A6" s="1" t="str">
        <f aca="false">cleaned_data!A3</f>
        <v>STR-1001</v>
      </c>
      <c r="B6" s="3" t="n">
        <f aca="false">cleaned_data!B3</f>
        <v>45689</v>
      </c>
      <c r="C6" s="1" t="str">
        <f aca="false">cleaned_data!D3</f>
        <v>Residential</v>
      </c>
      <c r="D6" s="1" t="str">
        <f aca="false">cleaned_data!C3</f>
        <v>East</v>
      </c>
      <c r="E6" s="1" t="n">
        <f aca="false">IF(cleaned_data!D3="Mall",1,0)</f>
        <v>0</v>
      </c>
      <c r="F6" s="1" t="n">
        <f aca="false">IF(cleaned_data!D3="Residential",1,0)</f>
        <v>1</v>
      </c>
      <c r="G6" s="1" t="n">
        <f aca="false">IF(cleaned_data!D3="Airport",1,0)</f>
        <v>0</v>
      </c>
      <c r="H6" s="1" t="n">
        <f aca="false">IF(cleaned_data!C3="North",1,0)</f>
        <v>0</v>
      </c>
      <c r="I6" s="1" t="n">
        <f aca="false">IF(cleaned_data!C3="South",1,0)</f>
        <v>0</v>
      </c>
      <c r="J6" s="1" t="n">
        <f aca="false">IF(cleaned_data!C3="West",1,0)</f>
        <v>0</v>
      </c>
    </row>
    <row r="7" customFormat="false" ht="15" hidden="false" customHeight="true" outlineLevel="0" collapsed="false">
      <c r="A7" s="1" t="str">
        <f aca="false">cleaned_data!A4</f>
        <v>STR-1001</v>
      </c>
      <c r="B7" s="3" t="n">
        <f aca="false">cleaned_data!B4</f>
        <v>45717</v>
      </c>
      <c r="C7" s="1" t="str">
        <f aca="false">cleaned_data!D4</f>
        <v>Residential</v>
      </c>
      <c r="D7" s="1" t="str">
        <f aca="false">cleaned_data!C4</f>
        <v>East</v>
      </c>
      <c r="E7" s="1" t="n">
        <f aca="false">IF(cleaned_data!D4="Mall",1,0)</f>
        <v>0</v>
      </c>
      <c r="F7" s="1" t="n">
        <f aca="false">IF(cleaned_data!D4="Residential",1,0)</f>
        <v>1</v>
      </c>
      <c r="G7" s="1" t="n">
        <f aca="false">IF(cleaned_data!D4="Airport",1,0)</f>
        <v>0</v>
      </c>
      <c r="H7" s="1" t="n">
        <f aca="false">IF(cleaned_data!C4="North",1,0)</f>
        <v>0</v>
      </c>
      <c r="I7" s="1" t="n">
        <f aca="false">IF(cleaned_data!C4="South",1,0)</f>
        <v>0</v>
      </c>
      <c r="J7" s="1" t="n">
        <f aca="false">IF(cleaned_data!C4="West",1,0)</f>
        <v>0</v>
      </c>
    </row>
    <row r="8" customFormat="false" ht="15" hidden="false" customHeight="true" outlineLevel="0" collapsed="false">
      <c r="A8" s="1" t="str">
        <f aca="false">cleaned_data!A5</f>
        <v>STR-1001</v>
      </c>
      <c r="B8" s="3" t="n">
        <f aca="false">cleaned_data!B5</f>
        <v>45748</v>
      </c>
      <c r="C8" s="1" t="str">
        <f aca="false">cleaned_data!D5</f>
        <v>Residential</v>
      </c>
      <c r="D8" s="1" t="str">
        <f aca="false">cleaned_data!C5</f>
        <v>East</v>
      </c>
      <c r="E8" s="1" t="n">
        <f aca="false">IF(cleaned_data!D5="Mall",1,0)</f>
        <v>0</v>
      </c>
      <c r="F8" s="1" t="n">
        <f aca="false">IF(cleaned_data!D5="Residential",1,0)</f>
        <v>1</v>
      </c>
      <c r="G8" s="1" t="n">
        <f aca="false">IF(cleaned_data!D5="Airport",1,0)</f>
        <v>0</v>
      </c>
      <c r="H8" s="1" t="n">
        <f aca="false">IF(cleaned_data!C5="North",1,0)</f>
        <v>0</v>
      </c>
      <c r="I8" s="1" t="n">
        <f aca="false">IF(cleaned_data!C5="South",1,0)</f>
        <v>0</v>
      </c>
      <c r="J8" s="1" t="n">
        <f aca="false">IF(cleaned_data!C5="West",1,0)</f>
        <v>0</v>
      </c>
    </row>
    <row r="9" customFormat="false" ht="15" hidden="false" customHeight="true" outlineLevel="0" collapsed="false">
      <c r="A9" s="1" t="str">
        <f aca="false">cleaned_data!A6</f>
        <v>STR-1002</v>
      </c>
      <c r="B9" s="3" t="n">
        <f aca="false">cleaned_data!B6</f>
        <v>45658</v>
      </c>
      <c r="C9" s="1" t="str">
        <f aca="false">cleaned_data!D6</f>
        <v>High Street</v>
      </c>
      <c r="D9" s="1" t="str">
        <f aca="false">cleaned_data!C6</f>
        <v>East</v>
      </c>
      <c r="E9" s="1" t="n">
        <f aca="false">IF(cleaned_data!D6="Mall",1,0)</f>
        <v>0</v>
      </c>
      <c r="F9" s="1" t="n">
        <f aca="false">IF(cleaned_data!D6="Residential",1,0)</f>
        <v>0</v>
      </c>
      <c r="G9" s="1" t="n">
        <f aca="false">IF(cleaned_data!D6="Airport",1,0)</f>
        <v>0</v>
      </c>
      <c r="H9" s="1" t="n">
        <f aca="false">IF(cleaned_data!C6="North",1,0)</f>
        <v>0</v>
      </c>
      <c r="I9" s="1" t="n">
        <f aca="false">IF(cleaned_data!C6="South",1,0)</f>
        <v>0</v>
      </c>
      <c r="J9" s="1" t="n">
        <f aca="false">IF(cleaned_data!C6="West",1,0)</f>
        <v>0</v>
      </c>
    </row>
    <row r="10" customFormat="false" ht="15" hidden="false" customHeight="true" outlineLevel="0" collapsed="false">
      <c r="A10" s="1" t="str">
        <f aca="false">cleaned_data!A7</f>
        <v>STR-1002</v>
      </c>
      <c r="B10" s="3" t="n">
        <f aca="false">cleaned_data!B7</f>
        <v>45689</v>
      </c>
      <c r="C10" s="1" t="str">
        <f aca="false">cleaned_data!D7</f>
        <v>High Street</v>
      </c>
      <c r="D10" s="1" t="str">
        <f aca="false">cleaned_data!C7</f>
        <v>East</v>
      </c>
      <c r="E10" s="1" t="n">
        <f aca="false">IF(cleaned_data!D7="Mall",1,0)</f>
        <v>0</v>
      </c>
      <c r="F10" s="1" t="n">
        <f aca="false">IF(cleaned_data!D7="Residential",1,0)</f>
        <v>0</v>
      </c>
      <c r="G10" s="1" t="n">
        <f aca="false">IF(cleaned_data!D7="Airport",1,0)</f>
        <v>0</v>
      </c>
      <c r="H10" s="1" t="n">
        <f aca="false">IF(cleaned_data!C7="North",1,0)</f>
        <v>0</v>
      </c>
      <c r="I10" s="1" t="n">
        <f aca="false">IF(cleaned_data!C7="South",1,0)</f>
        <v>0</v>
      </c>
      <c r="J10" s="1" t="n">
        <f aca="false">IF(cleaned_data!C7="West",1,0)</f>
        <v>0</v>
      </c>
    </row>
    <row r="11" customFormat="false" ht="15" hidden="false" customHeight="true" outlineLevel="0" collapsed="false">
      <c r="A11" s="1" t="str">
        <f aca="false">cleaned_data!A8</f>
        <v>STR-1002</v>
      </c>
      <c r="B11" s="3" t="n">
        <f aca="false">cleaned_data!B8</f>
        <v>45717</v>
      </c>
      <c r="C11" s="1" t="str">
        <f aca="false">cleaned_data!D8</f>
        <v>High Street</v>
      </c>
      <c r="D11" s="1" t="str">
        <f aca="false">cleaned_data!C8</f>
        <v>East</v>
      </c>
      <c r="E11" s="1" t="n">
        <f aca="false">IF(cleaned_data!D8="Mall",1,0)</f>
        <v>0</v>
      </c>
      <c r="F11" s="1" t="n">
        <f aca="false">IF(cleaned_data!D8="Residential",1,0)</f>
        <v>0</v>
      </c>
      <c r="G11" s="1" t="n">
        <f aca="false">IF(cleaned_data!D8="Airport",1,0)</f>
        <v>0</v>
      </c>
      <c r="H11" s="1" t="n">
        <f aca="false">IF(cleaned_data!C8="North",1,0)</f>
        <v>0</v>
      </c>
      <c r="I11" s="1" t="n">
        <f aca="false">IF(cleaned_data!C8="South",1,0)</f>
        <v>0</v>
      </c>
      <c r="J11" s="1" t="n">
        <f aca="false">IF(cleaned_data!C8="West",1,0)</f>
        <v>0</v>
      </c>
    </row>
    <row r="12" customFormat="false" ht="15" hidden="false" customHeight="true" outlineLevel="0" collapsed="false">
      <c r="A12" s="1" t="str">
        <f aca="false">cleaned_data!A9</f>
        <v>STR-1002</v>
      </c>
      <c r="B12" s="3" t="n">
        <f aca="false">cleaned_data!B9</f>
        <v>45748</v>
      </c>
      <c r="C12" s="1" t="str">
        <f aca="false">cleaned_data!D9</f>
        <v>High Street</v>
      </c>
      <c r="D12" s="1" t="str">
        <f aca="false">cleaned_data!C9</f>
        <v>East</v>
      </c>
      <c r="E12" s="1" t="n">
        <f aca="false">IF(cleaned_data!D9="Mall",1,0)</f>
        <v>0</v>
      </c>
      <c r="F12" s="1" t="n">
        <f aca="false">IF(cleaned_data!D9="Residential",1,0)</f>
        <v>0</v>
      </c>
      <c r="G12" s="1" t="n">
        <f aca="false">IF(cleaned_data!D9="Airport",1,0)</f>
        <v>0</v>
      </c>
      <c r="H12" s="1" t="n">
        <f aca="false">IF(cleaned_data!C9="North",1,0)</f>
        <v>0</v>
      </c>
      <c r="I12" s="1" t="n">
        <f aca="false">IF(cleaned_data!C9="South",1,0)</f>
        <v>0</v>
      </c>
      <c r="J12" s="1" t="n">
        <f aca="false">IF(cleaned_data!C9="West",1,0)</f>
        <v>0</v>
      </c>
    </row>
    <row r="13" customFormat="false" ht="15" hidden="false" customHeight="true" outlineLevel="0" collapsed="false">
      <c r="A13" s="1" t="str">
        <f aca="false">cleaned_data!A10</f>
        <v>STR-1003</v>
      </c>
      <c r="B13" s="3" t="n">
        <f aca="false">cleaned_data!B10</f>
        <v>45658</v>
      </c>
      <c r="C13" s="1" t="str">
        <f aca="false">cleaned_data!D10</f>
        <v>Airport</v>
      </c>
      <c r="D13" s="1" t="str">
        <f aca="false">cleaned_data!C10</f>
        <v>North</v>
      </c>
      <c r="E13" s="1" t="n">
        <f aca="false">IF(cleaned_data!D10="Mall",1,0)</f>
        <v>0</v>
      </c>
      <c r="F13" s="1" t="n">
        <f aca="false">IF(cleaned_data!D10="Residential",1,0)</f>
        <v>0</v>
      </c>
      <c r="G13" s="1" t="n">
        <f aca="false">IF(cleaned_data!D10="Airport",1,0)</f>
        <v>1</v>
      </c>
      <c r="H13" s="1" t="n">
        <f aca="false">IF(cleaned_data!C10="North",1,0)</f>
        <v>1</v>
      </c>
      <c r="I13" s="1" t="n">
        <f aca="false">IF(cleaned_data!C10="South",1,0)</f>
        <v>0</v>
      </c>
      <c r="J13" s="1" t="n">
        <f aca="false">IF(cleaned_data!C10="West",1,0)</f>
        <v>0</v>
      </c>
    </row>
    <row r="14" customFormat="false" ht="15" hidden="false" customHeight="true" outlineLevel="0" collapsed="false">
      <c r="A14" s="1" t="str">
        <f aca="false">cleaned_data!A11</f>
        <v>STR-1003</v>
      </c>
      <c r="B14" s="3" t="n">
        <f aca="false">cleaned_data!B11</f>
        <v>45689</v>
      </c>
      <c r="C14" s="1" t="str">
        <f aca="false">cleaned_data!D11</f>
        <v>Airport</v>
      </c>
      <c r="D14" s="1" t="str">
        <f aca="false">cleaned_data!C11</f>
        <v>North</v>
      </c>
      <c r="E14" s="1" t="n">
        <f aca="false">IF(cleaned_data!D11="Mall",1,0)</f>
        <v>0</v>
      </c>
      <c r="F14" s="1" t="n">
        <f aca="false">IF(cleaned_data!D11="Residential",1,0)</f>
        <v>0</v>
      </c>
      <c r="G14" s="1" t="n">
        <f aca="false">IF(cleaned_data!D11="Airport",1,0)</f>
        <v>1</v>
      </c>
      <c r="H14" s="1" t="n">
        <f aca="false">IF(cleaned_data!C11="North",1,0)</f>
        <v>1</v>
      </c>
      <c r="I14" s="1" t="n">
        <f aca="false">IF(cleaned_data!C11="South",1,0)</f>
        <v>0</v>
      </c>
      <c r="J14" s="1" t="n">
        <f aca="false">IF(cleaned_data!C11="West",1,0)</f>
        <v>0</v>
      </c>
    </row>
    <row r="15" customFormat="false" ht="15" hidden="false" customHeight="true" outlineLevel="0" collapsed="false">
      <c r="A15" s="1" t="str">
        <f aca="false">cleaned_data!A12</f>
        <v>STR-1003</v>
      </c>
      <c r="B15" s="3" t="n">
        <f aca="false">cleaned_data!B12</f>
        <v>45717</v>
      </c>
      <c r="C15" s="1" t="str">
        <f aca="false">cleaned_data!D12</f>
        <v>Airport</v>
      </c>
      <c r="D15" s="1" t="str">
        <f aca="false">cleaned_data!C12</f>
        <v>North</v>
      </c>
      <c r="E15" s="1" t="n">
        <f aca="false">IF(cleaned_data!D12="Mall",1,0)</f>
        <v>0</v>
      </c>
      <c r="F15" s="1" t="n">
        <f aca="false">IF(cleaned_data!D12="Residential",1,0)</f>
        <v>0</v>
      </c>
      <c r="G15" s="1" t="n">
        <f aca="false">IF(cleaned_data!D12="Airport",1,0)</f>
        <v>1</v>
      </c>
      <c r="H15" s="1" t="n">
        <f aca="false">IF(cleaned_data!C12="North",1,0)</f>
        <v>1</v>
      </c>
      <c r="I15" s="1" t="n">
        <f aca="false">IF(cleaned_data!C12="South",1,0)</f>
        <v>0</v>
      </c>
      <c r="J15" s="1" t="n">
        <f aca="false">IF(cleaned_data!C12="West",1,0)</f>
        <v>0</v>
      </c>
    </row>
    <row r="16" customFormat="false" ht="15" hidden="false" customHeight="true" outlineLevel="0" collapsed="false">
      <c r="A16" s="1" t="str">
        <f aca="false">cleaned_data!A13</f>
        <v>STR-1003</v>
      </c>
      <c r="B16" s="3" t="n">
        <f aca="false">cleaned_data!B13</f>
        <v>45748</v>
      </c>
      <c r="C16" s="1" t="str">
        <f aca="false">cleaned_data!D13</f>
        <v>Airport</v>
      </c>
      <c r="D16" s="1" t="str">
        <f aca="false">cleaned_data!C13</f>
        <v>North</v>
      </c>
      <c r="E16" s="1" t="n">
        <f aca="false">IF(cleaned_data!D13="Mall",1,0)</f>
        <v>0</v>
      </c>
      <c r="F16" s="1" t="n">
        <f aca="false">IF(cleaned_data!D13="Residential",1,0)</f>
        <v>0</v>
      </c>
      <c r="G16" s="1" t="n">
        <f aca="false">IF(cleaned_data!D13="Airport",1,0)</f>
        <v>1</v>
      </c>
      <c r="H16" s="1" t="n">
        <f aca="false">IF(cleaned_data!C13="North",1,0)</f>
        <v>1</v>
      </c>
      <c r="I16" s="1" t="n">
        <f aca="false">IF(cleaned_data!C13="South",1,0)</f>
        <v>0</v>
      </c>
      <c r="J16" s="1" t="n">
        <f aca="false">IF(cleaned_data!C13="West",1,0)</f>
        <v>0</v>
      </c>
    </row>
    <row r="17" customFormat="false" ht="15" hidden="false" customHeight="true" outlineLevel="0" collapsed="false">
      <c r="A17" s="1" t="str">
        <f aca="false">cleaned_data!A14</f>
        <v>STR-1004</v>
      </c>
      <c r="B17" s="3" t="n">
        <f aca="false">cleaned_data!B14</f>
        <v>45658</v>
      </c>
      <c r="C17" s="1" t="str">
        <f aca="false">cleaned_data!D14</f>
        <v>Residential</v>
      </c>
      <c r="D17" s="1" t="str">
        <f aca="false">cleaned_data!C14</f>
        <v>East</v>
      </c>
      <c r="E17" s="1" t="n">
        <f aca="false">IF(cleaned_data!D14="Mall",1,0)</f>
        <v>0</v>
      </c>
      <c r="F17" s="1" t="n">
        <f aca="false">IF(cleaned_data!D14="Residential",1,0)</f>
        <v>1</v>
      </c>
      <c r="G17" s="1" t="n">
        <f aca="false">IF(cleaned_data!D14="Airport",1,0)</f>
        <v>0</v>
      </c>
      <c r="H17" s="1" t="n">
        <f aca="false">IF(cleaned_data!C14="North",1,0)</f>
        <v>0</v>
      </c>
      <c r="I17" s="1" t="n">
        <f aca="false">IF(cleaned_data!C14="South",1,0)</f>
        <v>0</v>
      </c>
      <c r="J17" s="1" t="n">
        <f aca="false">IF(cleaned_data!C14="West",1,0)</f>
        <v>0</v>
      </c>
    </row>
    <row r="18" customFormat="false" ht="15" hidden="false" customHeight="true" outlineLevel="0" collapsed="false">
      <c r="A18" s="1" t="str">
        <f aca="false">cleaned_data!A15</f>
        <v>STR-1004</v>
      </c>
      <c r="B18" s="3" t="n">
        <f aca="false">cleaned_data!B15</f>
        <v>45689</v>
      </c>
      <c r="C18" s="1" t="str">
        <f aca="false">cleaned_data!D15</f>
        <v>Residential</v>
      </c>
      <c r="D18" s="1" t="str">
        <f aca="false">cleaned_data!C15</f>
        <v>East</v>
      </c>
      <c r="E18" s="1" t="n">
        <f aca="false">IF(cleaned_data!D15="Mall",1,0)</f>
        <v>0</v>
      </c>
      <c r="F18" s="1" t="n">
        <f aca="false">IF(cleaned_data!D15="Residential",1,0)</f>
        <v>1</v>
      </c>
      <c r="G18" s="1" t="n">
        <f aca="false">IF(cleaned_data!D15="Airport",1,0)</f>
        <v>0</v>
      </c>
      <c r="H18" s="1" t="n">
        <f aca="false">IF(cleaned_data!C15="North",1,0)</f>
        <v>0</v>
      </c>
      <c r="I18" s="1" t="n">
        <f aca="false">IF(cleaned_data!C15="South",1,0)</f>
        <v>0</v>
      </c>
      <c r="J18" s="1" t="n">
        <f aca="false">IF(cleaned_data!C15="West",1,0)</f>
        <v>0</v>
      </c>
    </row>
    <row r="19" customFormat="false" ht="15" hidden="false" customHeight="true" outlineLevel="0" collapsed="false">
      <c r="A19" s="1" t="str">
        <f aca="false">cleaned_data!A16</f>
        <v>STR-1004</v>
      </c>
      <c r="B19" s="3" t="n">
        <f aca="false">cleaned_data!B16</f>
        <v>45717</v>
      </c>
      <c r="C19" s="1" t="str">
        <f aca="false">cleaned_data!D16</f>
        <v>Residential</v>
      </c>
      <c r="D19" s="1" t="str">
        <f aca="false">cleaned_data!C16</f>
        <v>East</v>
      </c>
      <c r="E19" s="1" t="n">
        <f aca="false">IF(cleaned_data!D16="Mall",1,0)</f>
        <v>0</v>
      </c>
      <c r="F19" s="1" t="n">
        <f aca="false">IF(cleaned_data!D16="Residential",1,0)</f>
        <v>1</v>
      </c>
      <c r="G19" s="1" t="n">
        <f aca="false">IF(cleaned_data!D16="Airport",1,0)</f>
        <v>0</v>
      </c>
      <c r="H19" s="1" t="n">
        <f aca="false">IF(cleaned_data!C16="North",1,0)</f>
        <v>0</v>
      </c>
      <c r="I19" s="1" t="n">
        <f aca="false">IF(cleaned_data!C16="South",1,0)</f>
        <v>0</v>
      </c>
      <c r="J19" s="1" t="n">
        <f aca="false">IF(cleaned_data!C16="West",1,0)</f>
        <v>0</v>
      </c>
    </row>
    <row r="20" customFormat="false" ht="15" hidden="false" customHeight="true" outlineLevel="0" collapsed="false">
      <c r="A20" s="1" t="str">
        <f aca="false">cleaned_data!A17</f>
        <v>STR-1004</v>
      </c>
      <c r="B20" s="3" t="n">
        <f aca="false">cleaned_data!B17</f>
        <v>45748</v>
      </c>
      <c r="C20" s="1" t="str">
        <f aca="false">cleaned_data!D17</f>
        <v>Residential</v>
      </c>
      <c r="D20" s="1" t="str">
        <f aca="false">cleaned_data!C17</f>
        <v>East</v>
      </c>
      <c r="E20" s="1" t="n">
        <f aca="false">IF(cleaned_data!D17="Mall",1,0)</f>
        <v>0</v>
      </c>
      <c r="F20" s="1" t="n">
        <f aca="false">IF(cleaned_data!D17="Residential",1,0)</f>
        <v>1</v>
      </c>
      <c r="G20" s="1" t="n">
        <f aca="false">IF(cleaned_data!D17="Airport",1,0)</f>
        <v>0</v>
      </c>
      <c r="H20" s="1" t="n">
        <f aca="false">IF(cleaned_data!C17="North",1,0)</f>
        <v>0</v>
      </c>
      <c r="I20" s="1" t="n">
        <f aca="false">IF(cleaned_data!C17="South",1,0)</f>
        <v>0</v>
      </c>
      <c r="J20" s="1" t="n">
        <f aca="false">IF(cleaned_data!C17="West",1,0)</f>
        <v>0</v>
      </c>
    </row>
    <row r="21" customFormat="false" ht="15" hidden="false" customHeight="true" outlineLevel="0" collapsed="false">
      <c r="A21" s="1" t="str">
        <f aca="false">cleaned_data!A18</f>
        <v>STR-1005</v>
      </c>
      <c r="B21" s="3" t="n">
        <f aca="false">cleaned_data!B18</f>
        <v>45658</v>
      </c>
      <c r="C21" s="1" t="str">
        <f aca="false">cleaned_data!D18</f>
        <v>Residential</v>
      </c>
      <c r="D21" s="1" t="str">
        <f aca="false">cleaned_data!C18</f>
        <v>South</v>
      </c>
      <c r="E21" s="1" t="n">
        <f aca="false">IF(cleaned_data!D18="Mall",1,0)</f>
        <v>0</v>
      </c>
      <c r="F21" s="1" t="n">
        <f aca="false">IF(cleaned_data!D18="Residential",1,0)</f>
        <v>1</v>
      </c>
      <c r="G21" s="1" t="n">
        <f aca="false">IF(cleaned_data!D18="Airport",1,0)</f>
        <v>0</v>
      </c>
      <c r="H21" s="1" t="n">
        <f aca="false">IF(cleaned_data!C18="North",1,0)</f>
        <v>0</v>
      </c>
      <c r="I21" s="1" t="n">
        <f aca="false">IF(cleaned_data!C18="South",1,0)</f>
        <v>1</v>
      </c>
      <c r="J21" s="1" t="n">
        <f aca="false">IF(cleaned_data!C18="West",1,0)</f>
        <v>0</v>
      </c>
    </row>
    <row r="22" customFormat="false" ht="15" hidden="false" customHeight="true" outlineLevel="0" collapsed="false">
      <c r="A22" s="1" t="str">
        <f aca="false">cleaned_data!A19</f>
        <v>STR-1005</v>
      </c>
      <c r="B22" s="3" t="n">
        <f aca="false">cleaned_data!B19</f>
        <v>45689</v>
      </c>
      <c r="C22" s="1" t="str">
        <f aca="false">cleaned_data!D19</f>
        <v>Residential</v>
      </c>
      <c r="D22" s="1" t="str">
        <f aca="false">cleaned_data!C19</f>
        <v>South</v>
      </c>
      <c r="E22" s="1" t="n">
        <f aca="false">IF(cleaned_data!D19="Mall",1,0)</f>
        <v>0</v>
      </c>
      <c r="F22" s="1" t="n">
        <f aca="false">IF(cleaned_data!D19="Residential",1,0)</f>
        <v>1</v>
      </c>
      <c r="G22" s="1" t="n">
        <f aca="false">IF(cleaned_data!D19="Airport",1,0)</f>
        <v>0</v>
      </c>
      <c r="H22" s="1" t="n">
        <f aca="false">IF(cleaned_data!C19="North",1,0)</f>
        <v>0</v>
      </c>
      <c r="I22" s="1" t="n">
        <f aca="false">IF(cleaned_data!C19="South",1,0)</f>
        <v>1</v>
      </c>
      <c r="J22" s="1" t="n">
        <f aca="false">IF(cleaned_data!C19="West",1,0)</f>
        <v>0</v>
      </c>
    </row>
    <row r="23" customFormat="false" ht="15" hidden="false" customHeight="true" outlineLevel="0" collapsed="false">
      <c r="A23" s="1" t="str">
        <f aca="false">cleaned_data!A20</f>
        <v>STR-1005</v>
      </c>
      <c r="B23" s="3" t="n">
        <f aca="false">cleaned_data!B20</f>
        <v>45717</v>
      </c>
      <c r="C23" s="1" t="str">
        <f aca="false">cleaned_data!D20</f>
        <v>Residential</v>
      </c>
      <c r="D23" s="1" t="str">
        <f aca="false">cleaned_data!C20</f>
        <v>South</v>
      </c>
      <c r="E23" s="1" t="n">
        <f aca="false">IF(cleaned_data!D20="Mall",1,0)</f>
        <v>0</v>
      </c>
      <c r="F23" s="1" t="n">
        <f aca="false">IF(cleaned_data!D20="Residential",1,0)</f>
        <v>1</v>
      </c>
      <c r="G23" s="1" t="n">
        <f aca="false">IF(cleaned_data!D20="Airport",1,0)</f>
        <v>0</v>
      </c>
      <c r="H23" s="1" t="n">
        <f aca="false">IF(cleaned_data!C20="North",1,0)</f>
        <v>0</v>
      </c>
      <c r="I23" s="1" t="n">
        <f aca="false">IF(cleaned_data!C20="South",1,0)</f>
        <v>1</v>
      </c>
      <c r="J23" s="1" t="n">
        <f aca="false">IF(cleaned_data!C20="West",1,0)</f>
        <v>0</v>
      </c>
    </row>
    <row r="24" customFormat="false" ht="15" hidden="false" customHeight="true" outlineLevel="0" collapsed="false">
      <c r="A24" s="1" t="str">
        <f aca="false">cleaned_data!A21</f>
        <v>STR-1005</v>
      </c>
      <c r="B24" s="3" t="n">
        <f aca="false">cleaned_data!B21</f>
        <v>45748</v>
      </c>
      <c r="C24" s="1" t="str">
        <f aca="false">cleaned_data!D21</f>
        <v>Residential</v>
      </c>
      <c r="D24" s="1" t="str">
        <f aca="false">cleaned_data!C21</f>
        <v>South</v>
      </c>
      <c r="E24" s="1" t="n">
        <f aca="false">IF(cleaned_data!D21="Mall",1,0)</f>
        <v>0</v>
      </c>
      <c r="F24" s="1" t="n">
        <f aca="false">IF(cleaned_data!D21="Residential",1,0)</f>
        <v>1</v>
      </c>
      <c r="G24" s="1" t="n">
        <f aca="false">IF(cleaned_data!D21="Airport",1,0)</f>
        <v>0</v>
      </c>
      <c r="H24" s="1" t="n">
        <f aca="false">IF(cleaned_data!C21="North",1,0)</f>
        <v>0</v>
      </c>
      <c r="I24" s="1" t="n">
        <f aca="false">IF(cleaned_data!C21="South",1,0)</f>
        <v>1</v>
      </c>
      <c r="J24" s="1" t="n">
        <f aca="false">IF(cleaned_data!C21="West",1,0)</f>
        <v>0</v>
      </c>
    </row>
    <row r="25" customFormat="false" ht="15" hidden="false" customHeight="true" outlineLevel="0" collapsed="false">
      <c r="A25" s="1" t="str">
        <f aca="false">cleaned_data!A22</f>
        <v>STR-1006</v>
      </c>
      <c r="B25" s="3" t="n">
        <f aca="false">cleaned_data!B22</f>
        <v>45658</v>
      </c>
      <c r="C25" s="1" t="str">
        <f aca="false">cleaned_data!D22</f>
        <v>Residential</v>
      </c>
      <c r="D25" s="1" t="str">
        <f aca="false">cleaned_data!C22</f>
        <v>North</v>
      </c>
      <c r="E25" s="1" t="n">
        <f aca="false">IF(cleaned_data!D22="Mall",1,0)</f>
        <v>0</v>
      </c>
      <c r="F25" s="1" t="n">
        <f aca="false">IF(cleaned_data!D22="Residential",1,0)</f>
        <v>1</v>
      </c>
      <c r="G25" s="1" t="n">
        <f aca="false">IF(cleaned_data!D22="Airport",1,0)</f>
        <v>0</v>
      </c>
      <c r="H25" s="1" t="n">
        <f aca="false">IF(cleaned_data!C22="North",1,0)</f>
        <v>1</v>
      </c>
      <c r="I25" s="1" t="n">
        <f aca="false">IF(cleaned_data!C22="South",1,0)</f>
        <v>0</v>
      </c>
      <c r="J25" s="1" t="n">
        <f aca="false">IF(cleaned_data!C22="West",1,0)</f>
        <v>0</v>
      </c>
    </row>
    <row r="26" customFormat="false" ht="15" hidden="false" customHeight="true" outlineLevel="0" collapsed="false">
      <c r="A26" s="1" t="str">
        <f aca="false">cleaned_data!A23</f>
        <v>STR-1006</v>
      </c>
      <c r="B26" s="3" t="n">
        <f aca="false">cleaned_data!B23</f>
        <v>45689</v>
      </c>
      <c r="C26" s="1" t="str">
        <f aca="false">cleaned_data!D23</f>
        <v>Residential</v>
      </c>
      <c r="D26" s="1" t="str">
        <f aca="false">cleaned_data!C23</f>
        <v>North</v>
      </c>
      <c r="E26" s="1" t="n">
        <f aca="false">IF(cleaned_data!D23="Mall",1,0)</f>
        <v>0</v>
      </c>
      <c r="F26" s="1" t="n">
        <f aca="false">IF(cleaned_data!D23="Residential",1,0)</f>
        <v>1</v>
      </c>
      <c r="G26" s="1" t="n">
        <f aca="false">IF(cleaned_data!D23="Airport",1,0)</f>
        <v>0</v>
      </c>
      <c r="H26" s="1" t="n">
        <f aca="false">IF(cleaned_data!C23="North",1,0)</f>
        <v>1</v>
      </c>
      <c r="I26" s="1" t="n">
        <f aca="false">IF(cleaned_data!C23="South",1,0)</f>
        <v>0</v>
      </c>
      <c r="J26" s="1" t="n">
        <f aca="false">IF(cleaned_data!C23="West",1,0)</f>
        <v>0</v>
      </c>
    </row>
    <row r="27" customFormat="false" ht="15" hidden="false" customHeight="true" outlineLevel="0" collapsed="false">
      <c r="A27" s="1" t="str">
        <f aca="false">cleaned_data!A24</f>
        <v>STR-1006</v>
      </c>
      <c r="B27" s="3" t="n">
        <f aca="false">cleaned_data!B24</f>
        <v>45717</v>
      </c>
      <c r="C27" s="1" t="str">
        <f aca="false">cleaned_data!D24</f>
        <v>Residential</v>
      </c>
      <c r="D27" s="1" t="str">
        <f aca="false">cleaned_data!C24</f>
        <v>North</v>
      </c>
      <c r="E27" s="1" t="n">
        <f aca="false">IF(cleaned_data!D24="Mall",1,0)</f>
        <v>0</v>
      </c>
      <c r="F27" s="1" t="n">
        <f aca="false">IF(cleaned_data!D24="Residential",1,0)</f>
        <v>1</v>
      </c>
      <c r="G27" s="1" t="n">
        <f aca="false">IF(cleaned_data!D24="Airport",1,0)</f>
        <v>0</v>
      </c>
      <c r="H27" s="1" t="n">
        <f aca="false">IF(cleaned_data!C24="North",1,0)</f>
        <v>1</v>
      </c>
      <c r="I27" s="1" t="n">
        <f aca="false">IF(cleaned_data!C24="South",1,0)</f>
        <v>0</v>
      </c>
      <c r="J27" s="1" t="n">
        <f aca="false">IF(cleaned_data!C24="West",1,0)</f>
        <v>0</v>
      </c>
    </row>
    <row r="28" customFormat="false" ht="15" hidden="false" customHeight="true" outlineLevel="0" collapsed="false">
      <c r="A28" s="1" t="str">
        <f aca="false">cleaned_data!A25</f>
        <v>STR-1006</v>
      </c>
      <c r="B28" s="3" t="n">
        <f aca="false">cleaned_data!B25</f>
        <v>45748</v>
      </c>
      <c r="C28" s="1" t="str">
        <f aca="false">cleaned_data!D25</f>
        <v>Residential</v>
      </c>
      <c r="D28" s="1" t="str">
        <f aca="false">cleaned_data!C25</f>
        <v>North</v>
      </c>
      <c r="E28" s="1" t="n">
        <f aca="false">IF(cleaned_data!D25="Mall",1,0)</f>
        <v>0</v>
      </c>
      <c r="F28" s="1" t="n">
        <f aca="false">IF(cleaned_data!D25="Residential",1,0)</f>
        <v>1</v>
      </c>
      <c r="G28" s="1" t="n">
        <f aca="false">IF(cleaned_data!D25="Airport",1,0)</f>
        <v>0</v>
      </c>
      <c r="H28" s="1" t="n">
        <f aca="false">IF(cleaned_data!C25="North",1,0)</f>
        <v>1</v>
      </c>
      <c r="I28" s="1" t="n">
        <f aca="false">IF(cleaned_data!C25="South",1,0)</f>
        <v>0</v>
      </c>
      <c r="J28" s="1" t="n">
        <f aca="false">IF(cleaned_data!C25="West",1,0)</f>
        <v>0</v>
      </c>
    </row>
    <row r="29" customFormat="false" ht="15" hidden="false" customHeight="true" outlineLevel="0" collapsed="false">
      <c r="A29" s="1" t="str">
        <f aca="false">cleaned_data!A26</f>
        <v>STR-1007</v>
      </c>
      <c r="B29" s="3" t="n">
        <f aca="false">cleaned_data!B26</f>
        <v>45658</v>
      </c>
      <c r="C29" s="1" t="str">
        <f aca="false">cleaned_data!D26</f>
        <v>Mall</v>
      </c>
      <c r="D29" s="1" t="str">
        <f aca="false">cleaned_data!C26</f>
        <v>West</v>
      </c>
      <c r="E29" s="1" t="n">
        <f aca="false">IF(cleaned_data!D26="Mall",1,0)</f>
        <v>1</v>
      </c>
      <c r="F29" s="1" t="n">
        <f aca="false">IF(cleaned_data!D26="Residential",1,0)</f>
        <v>0</v>
      </c>
      <c r="G29" s="1" t="n">
        <f aca="false">IF(cleaned_data!D26="Airport",1,0)</f>
        <v>0</v>
      </c>
      <c r="H29" s="1" t="n">
        <f aca="false">IF(cleaned_data!C26="North",1,0)</f>
        <v>0</v>
      </c>
      <c r="I29" s="1" t="n">
        <f aca="false">IF(cleaned_data!C26="South",1,0)</f>
        <v>0</v>
      </c>
      <c r="J29" s="1" t="n">
        <f aca="false">IF(cleaned_data!C26="West",1,0)</f>
        <v>1</v>
      </c>
    </row>
    <row r="30" customFormat="false" ht="15" hidden="false" customHeight="true" outlineLevel="0" collapsed="false">
      <c r="A30" s="1" t="str">
        <f aca="false">cleaned_data!A27</f>
        <v>STR-1007</v>
      </c>
      <c r="B30" s="3" t="n">
        <f aca="false">cleaned_data!B27</f>
        <v>45689</v>
      </c>
      <c r="C30" s="1" t="str">
        <f aca="false">cleaned_data!D27</f>
        <v>Mall</v>
      </c>
      <c r="D30" s="1" t="str">
        <f aca="false">cleaned_data!C27</f>
        <v>West</v>
      </c>
      <c r="E30" s="1" t="n">
        <f aca="false">IF(cleaned_data!D27="Mall",1,0)</f>
        <v>1</v>
      </c>
      <c r="F30" s="1" t="n">
        <f aca="false">IF(cleaned_data!D27="Residential",1,0)</f>
        <v>0</v>
      </c>
      <c r="G30" s="1" t="n">
        <f aca="false">IF(cleaned_data!D27="Airport",1,0)</f>
        <v>0</v>
      </c>
      <c r="H30" s="1" t="n">
        <f aca="false">IF(cleaned_data!C27="North",1,0)</f>
        <v>0</v>
      </c>
      <c r="I30" s="1" t="n">
        <f aca="false">IF(cleaned_data!C27="South",1,0)</f>
        <v>0</v>
      </c>
      <c r="J30" s="1" t="n">
        <f aca="false">IF(cleaned_data!C27="West",1,0)</f>
        <v>1</v>
      </c>
    </row>
    <row r="31" customFormat="false" ht="15" hidden="false" customHeight="true" outlineLevel="0" collapsed="false">
      <c r="A31" s="1" t="str">
        <f aca="false">cleaned_data!A28</f>
        <v>STR-1007</v>
      </c>
      <c r="B31" s="3" t="n">
        <f aca="false">cleaned_data!B28</f>
        <v>45717</v>
      </c>
      <c r="C31" s="1" t="str">
        <f aca="false">cleaned_data!D28</f>
        <v>Mall</v>
      </c>
      <c r="D31" s="1" t="str">
        <f aca="false">cleaned_data!C28</f>
        <v>West</v>
      </c>
      <c r="E31" s="1" t="n">
        <f aca="false">IF(cleaned_data!D28="Mall",1,0)</f>
        <v>1</v>
      </c>
      <c r="F31" s="1" t="n">
        <f aca="false">IF(cleaned_data!D28="Residential",1,0)</f>
        <v>0</v>
      </c>
      <c r="G31" s="1" t="n">
        <f aca="false">IF(cleaned_data!D28="Airport",1,0)</f>
        <v>0</v>
      </c>
      <c r="H31" s="1" t="n">
        <f aca="false">IF(cleaned_data!C28="North",1,0)</f>
        <v>0</v>
      </c>
      <c r="I31" s="1" t="n">
        <f aca="false">IF(cleaned_data!C28="South",1,0)</f>
        <v>0</v>
      </c>
      <c r="J31" s="1" t="n">
        <f aca="false">IF(cleaned_data!C28="West",1,0)</f>
        <v>1</v>
      </c>
    </row>
    <row r="32" customFormat="false" ht="15" hidden="false" customHeight="true" outlineLevel="0" collapsed="false">
      <c r="A32" s="1" t="str">
        <f aca="false">cleaned_data!A29</f>
        <v>STR-1007</v>
      </c>
      <c r="B32" s="3" t="n">
        <f aca="false">cleaned_data!B29</f>
        <v>45748</v>
      </c>
      <c r="C32" s="1" t="str">
        <f aca="false">cleaned_data!D29</f>
        <v>Mall</v>
      </c>
      <c r="D32" s="1" t="str">
        <f aca="false">cleaned_data!C29</f>
        <v>West</v>
      </c>
      <c r="E32" s="1" t="n">
        <f aca="false">IF(cleaned_data!D29="Mall",1,0)</f>
        <v>1</v>
      </c>
      <c r="F32" s="1" t="n">
        <f aca="false">IF(cleaned_data!D29="Residential",1,0)</f>
        <v>0</v>
      </c>
      <c r="G32" s="1" t="n">
        <f aca="false">IF(cleaned_data!D29="Airport",1,0)</f>
        <v>0</v>
      </c>
      <c r="H32" s="1" t="n">
        <f aca="false">IF(cleaned_data!C29="North",1,0)</f>
        <v>0</v>
      </c>
      <c r="I32" s="1" t="n">
        <f aca="false">IF(cleaned_data!C29="South",1,0)</f>
        <v>0</v>
      </c>
      <c r="J32" s="1" t="n">
        <f aca="false">IF(cleaned_data!C29="West",1,0)</f>
        <v>1</v>
      </c>
    </row>
    <row r="33" customFormat="false" ht="15" hidden="false" customHeight="true" outlineLevel="0" collapsed="false">
      <c r="A33" s="1" t="str">
        <f aca="false">cleaned_data!A30</f>
        <v>STR-1008</v>
      </c>
      <c r="B33" s="3" t="n">
        <f aca="false">cleaned_data!B30</f>
        <v>45658</v>
      </c>
      <c r="C33" s="1" t="str">
        <f aca="false">cleaned_data!D30</f>
        <v>Residential</v>
      </c>
      <c r="D33" s="1" t="str">
        <f aca="false">cleaned_data!C30</f>
        <v>East</v>
      </c>
      <c r="E33" s="1" t="n">
        <f aca="false">IF(cleaned_data!D30="Mall",1,0)</f>
        <v>0</v>
      </c>
      <c r="F33" s="1" t="n">
        <f aca="false">IF(cleaned_data!D30="Residential",1,0)</f>
        <v>1</v>
      </c>
      <c r="G33" s="1" t="n">
        <f aca="false">IF(cleaned_data!D30="Airport",1,0)</f>
        <v>0</v>
      </c>
      <c r="H33" s="1" t="n">
        <f aca="false">IF(cleaned_data!C30="North",1,0)</f>
        <v>0</v>
      </c>
      <c r="I33" s="1" t="n">
        <f aca="false">IF(cleaned_data!C30="South",1,0)</f>
        <v>0</v>
      </c>
      <c r="J33" s="1" t="n">
        <f aca="false">IF(cleaned_data!C30="West",1,0)</f>
        <v>0</v>
      </c>
    </row>
    <row r="34" customFormat="false" ht="15" hidden="false" customHeight="true" outlineLevel="0" collapsed="false">
      <c r="A34" s="1" t="str">
        <f aca="false">cleaned_data!A31</f>
        <v>STR-1008</v>
      </c>
      <c r="B34" s="3" t="n">
        <f aca="false">cleaned_data!B31</f>
        <v>45689</v>
      </c>
      <c r="C34" s="1" t="str">
        <f aca="false">cleaned_data!D31</f>
        <v>Residential</v>
      </c>
      <c r="D34" s="1" t="str">
        <f aca="false">cleaned_data!C31</f>
        <v>East</v>
      </c>
      <c r="E34" s="1" t="n">
        <f aca="false">IF(cleaned_data!D31="Mall",1,0)</f>
        <v>0</v>
      </c>
      <c r="F34" s="1" t="n">
        <f aca="false">IF(cleaned_data!D31="Residential",1,0)</f>
        <v>1</v>
      </c>
      <c r="G34" s="1" t="n">
        <f aca="false">IF(cleaned_data!D31="Airport",1,0)</f>
        <v>0</v>
      </c>
      <c r="H34" s="1" t="n">
        <f aca="false">IF(cleaned_data!C31="North",1,0)</f>
        <v>0</v>
      </c>
      <c r="I34" s="1" t="n">
        <f aca="false">IF(cleaned_data!C31="South",1,0)</f>
        <v>0</v>
      </c>
      <c r="J34" s="1" t="n">
        <f aca="false">IF(cleaned_data!C31="West",1,0)</f>
        <v>0</v>
      </c>
    </row>
    <row r="35" customFormat="false" ht="15" hidden="false" customHeight="true" outlineLevel="0" collapsed="false">
      <c r="A35" s="1" t="str">
        <f aca="false">cleaned_data!A32</f>
        <v>STR-1008</v>
      </c>
      <c r="B35" s="3" t="n">
        <f aca="false">cleaned_data!B32</f>
        <v>45717</v>
      </c>
      <c r="C35" s="1" t="str">
        <f aca="false">cleaned_data!D32</f>
        <v>Residential</v>
      </c>
      <c r="D35" s="1" t="str">
        <f aca="false">cleaned_data!C32</f>
        <v>East</v>
      </c>
      <c r="E35" s="1" t="n">
        <f aca="false">IF(cleaned_data!D32="Mall",1,0)</f>
        <v>0</v>
      </c>
      <c r="F35" s="1" t="n">
        <f aca="false">IF(cleaned_data!D32="Residential",1,0)</f>
        <v>1</v>
      </c>
      <c r="G35" s="1" t="n">
        <f aca="false">IF(cleaned_data!D32="Airport",1,0)</f>
        <v>0</v>
      </c>
      <c r="H35" s="1" t="n">
        <f aca="false">IF(cleaned_data!C32="North",1,0)</f>
        <v>0</v>
      </c>
      <c r="I35" s="1" t="n">
        <f aca="false">IF(cleaned_data!C32="South",1,0)</f>
        <v>0</v>
      </c>
      <c r="J35" s="1" t="n">
        <f aca="false">IF(cleaned_data!C32="West",1,0)</f>
        <v>0</v>
      </c>
    </row>
    <row r="36" customFormat="false" ht="15" hidden="false" customHeight="true" outlineLevel="0" collapsed="false">
      <c r="A36" s="1" t="str">
        <f aca="false">cleaned_data!A33</f>
        <v>STR-1008</v>
      </c>
      <c r="B36" s="3" t="n">
        <f aca="false">cleaned_data!B33</f>
        <v>45748</v>
      </c>
      <c r="C36" s="1" t="str">
        <f aca="false">cleaned_data!D33</f>
        <v>Residential</v>
      </c>
      <c r="D36" s="1" t="str">
        <f aca="false">cleaned_data!C33</f>
        <v>East</v>
      </c>
      <c r="E36" s="1" t="n">
        <f aca="false">IF(cleaned_data!D33="Mall",1,0)</f>
        <v>0</v>
      </c>
      <c r="F36" s="1" t="n">
        <f aca="false">IF(cleaned_data!D33="Residential",1,0)</f>
        <v>1</v>
      </c>
      <c r="G36" s="1" t="n">
        <f aca="false">IF(cleaned_data!D33="Airport",1,0)</f>
        <v>0</v>
      </c>
      <c r="H36" s="1" t="n">
        <f aca="false">IF(cleaned_data!C33="North",1,0)</f>
        <v>0</v>
      </c>
      <c r="I36" s="1" t="n">
        <f aca="false">IF(cleaned_data!C33="South",1,0)</f>
        <v>0</v>
      </c>
      <c r="J36" s="1" t="n">
        <f aca="false">IF(cleaned_data!C33="West",1,0)</f>
        <v>0</v>
      </c>
    </row>
    <row r="37" customFormat="false" ht="15" hidden="false" customHeight="true" outlineLevel="0" collapsed="false">
      <c r="A37" s="1" t="str">
        <f aca="false">cleaned_data!A34</f>
        <v>STR-1009</v>
      </c>
      <c r="B37" s="3" t="n">
        <f aca="false">cleaned_data!B34</f>
        <v>45658</v>
      </c>
      <c r="C37" s="1" t="str">
        <f aca="false">cleaned_data!D34</f>
        <v>Residential</v>
      </c>
      <c r="D37" s="1" t="str">
        <f aca="false">cleaned_data!C34</f>
        <v>North</v>
      </c>
      <c r="E37" s="1" t="n">
        <f aca="false">IF(cleaned_data!D34="Mall",1,0)</f>
        <v>0</v>
      </c>
      <c r="F37" s="1" t="n">
        <f aca="false">IF(cleaned_data!D34="Residential",1,0)</f>
        <v>1</v>
      </c>
      <c r="G37" s="1" t="n">
        <f aca="false">IF(cleaned_data!D34="Airport",1,0)</f>
        <v>0</v>
      </c>
      <c r="H37" s="1" t="n">
        <f aca="false">IF(cleaned_data!C34="North",1,0)</f>
        <v>1</v>
      </c>
      <c r="I37" s="1" t="n">
        <f aca="false">IF(cleaned_data!C34="South",1,0)</f>
        <v>0</v>
      </c>
      <c r="J37" s="1" t="n">
        <f aca="false">IF(cleaned_data!C34="West",1,0)</f>
        <v>0</v>
      </c>
    </row>
    <row r="38" customFormat="false" ht="15" hidden="false" customHeight="true" outlineLevel="0" collapsed="false">
      <c r="A38" s="1" t="str">
        <f aca="false">cleaned_data!A35</f>
        <v>STR-1009</v>
      </c>
      <c r="B38" s="3" t="n">
        <f aca="false">cleaned_data!B35</f>
        <v>45689</v>
      </c>
      <c r="C38" s="1" t="str">
        <f aca="false">cleaned_data!D35</f>
        <v>Residential</v>
      </c>
      <c r="D38" s="1" t="str">
        <f aca="false">cleaned_data!C35</f>
        <v>North</v>
      </c>
      <c r="E38" s="1" t="n">
        <f aca="false">IF(cleaned_data!D35="Mall",1,0)</f>
        <v>0</v>
      </c>
      <c r="F38" s="1" t="n">
        <f aca="false">IF(cleaned_data!D35="Residential",1,0)</f>
        <v>1</v>
      </c>
      <c r="G38" s="1" t="n">
        <f aca="false">IF(cleaned_data!D35="Airport",1,0)</f>
        <v>0</v>
      </c>
      <c r="H38" s="1" t="n">
        <f aca="false">IF(cleaned_data!C35="North",1,0)</f>
        <v>1</v>
      </c>
      <c r="I38" s="1" t="n">
        <f aca="false">IF(cleaned_data!C35="South",1,0)</f>
        <v>0</v>
      </c>
      <c r="J38" s="1" t="n">
        <f aca="false">IF(cleaned_data!C35="West",1,0)</f>
        <v>0</v>
      </c>
    </row>
    <row r="39" customFormat="false" ht="15" hidden="false" customHeight="true" outlineLevel="0" collapsed="false">
      <c r="A39" s="1" t="str">
        <f aca="false">cleaned_data!A36</f>
        <v>STR-1009</v>
      </c>
      <c r="B39" s="3" t="n">
        <f aca="false">cleaned_data!B36</f>
        <v>45717</v>
      </c>
      <c r="C39" s="1" t="str">
        <f aca="false">cleaned_data!D36</f>
        <v>Residential</v>
      </c>
      <c r="D39" s="1" t="str">
        <f aca="false">cleaned_data!C36</f>
        <v>North</v>
      </c>
      <c r="E39" s="1" t="n">
        <f aca="false">IF(cleaned_data!D36="Mall",1,0)</f>
        <v>0</v>
      </c>
      <c r="F39" s="1" t="n">
        <f aca="false">IF(cleaned_data!D36="Residential",1,0)</f>
        <v>1</v>
      </c>
      <c r="G39" s="1" t="n">
        <f aca="false">IF(cleaned_data!D36="Airport",1,0)</f>
        <v>0</v>
      </c>
      <c r="H39" s="1" t="n">
        <f aca="false">IF(cleaned_data!C36="North",1,0)</f>
        <v>1</v>
      </c>
      <c r="I39" s="1" t="n">
        <f aca="false">IF(cleaned_data!C36="South",1,0)</f>
        <v>0</v>
      </c>
      <c r="J39" s="1" t="n">
        <f aca="false">IF(cleaned_data!C36="West",1,0)</f>
        <v>0</v>
      </c>
    </row>
    <row r="40" customFormat="false" ht="15" hidden="false" customHeight="true" outlineLevel="0" collapsed="false">
      <c r="A40" s="1" t="str">
        <f aca="false">cleaned_data!A37</f>
        <v>STR-1009</v>
      </c>
      <c r="B40" s="3" t="n">
        <f aca="false">cleaned_data!B37</f>
        <v>45748</v>
      </c>
      <c r="C40" s="1" t="str">
        <f aca="false">cleaned_data!D37</f>
        <v>Residential</v>
      </c>
      <c r="D40" s="1" t="str">
        <f aca="false">cleaned_data!C37</f>
        <v>North</v>
      </c>
      <c r="E40" s="1" t="n">
        <f aca="false">IF(cleaned_data!D37="Mall",1,0)</f>
        <v>0</v>
      </c>
      <c r="F40" s="1" t="n">
        <f aca="false">IF(cleaned_data!D37="Residential",1,0)</f>
        <v>1</v>
      </c>
      <c r="G40" s="1" t="n">
        <f aca="false">IF(cleaned_data!D37="Airport",1,0)</f>
        <v>0</v>
      </c>
      <c r="H40" s="1" t="n">
        <f aca="false">IF(cleaned_data!C37="North",1,0)</f>
        <v>1</v>
      </c>
      <c r="I40" s="1" t="n">
        <f aca="false">IF(cleaned_data!C37="South",1,0)</f>
        <v>0</v>
      </c>
      <c r="J40" s="1" t="n">
        <f aca="false">IF(cleaned_data!C37="West",1,0)</f>
        <v>0</v>
      </c>
    </row>
    <row r="41" customFormat="false" ht="15" hidden="false" customHeight="true" outlineLevel="0" collapsed="false">
      <c r="A41" s="1" t="str">
        <f aca="false">cleaned_data!A38</f>
        <v>STR-1010</v>
      </c>
      <c r="B41" s="3" t="n">
        <f aca="false">cleaned_data!B38</f>
        <v>45658</v>
      </c>
      <c r="C41" s="1" t="str">
        <f aca="false">cleaned_data!D38</f>
        <v>Mall</v>
      </c>
      <c r="D41" s="1" t="str">
        <f aca="false">cleaned_data!C38</f>
        <v>North</v>
      </c>
      <c r="E41" s="1" t="n">
        <f aca="false">IF(cleaned_data!D38="Mall",1,0)</f>
        <v>1</v>
      </c>
      <c r="F41" s="1" t="n">
        <f aca="false">IF(cleaned_data!D38="Residential",1,0)</f>
        <v>0</v>
      </c>
      <c r="G41" s="1" t="n">
        <f aca="false">IF(cleaned_data!D38="Airport",1,0)</f>
        <v>0</v>
      </c>
      <c r="H41" s="1" t="n">
        <f aca="false">IF(cleaned_data!C38="North",1,0)</f>
        <v>1</v>
      </c>
      <c r="I41" s="1" t="n">
        <f aca="false">IF(cleaned_data!C38="South",1,0)</f>
        <v>0</v>
      </c>
      <c r="J41" s="1" t="n">
        <f aca="false">IF(cleaned_data!C38="West",1,0)</f>
        <v>0</v>
      </c>
    </row>
    <row r="42" customFormat="false" ht="15" hidden="false" customHeight="true" outlineLevel="0" collapsed="false">
      <c r="A42" s="1" t="str">
        <f aca="false">cleaned_data!A39</f>
        <v>STR-1010</v>
      </c>
      <c r="B42" s="3" t="n">
        <f aca="false">cleaned_data!B39</f>
        <v>45689</v>
      </c>
      <c r="C42" s="1" t="str">
        <f aca="false">cleaned_data!D39</f>
        <v>Mall</v>
      </c>
      <c r="D42" s="1" t="str">
        <f aca="false">cleaned_data!C39</f>
        <v>North</v>
      </c>
      <c r="E42" s="1" t="n">
        <f aca="false">IF(cleaned_data!D39="Mall",1,0)</f>
        <v>1</v>
      </c>
      <c r="F42" s="1" t="n">
        <f aca="false">IF(cleaned_data!D39="Residential",1,0)</f>
        <v>0</v>
      </c>
      <c r="G42" s="1" t="n">
        <f aca="false">IF(cleaned_data!D39="Airport",1,0)</f>
        <v>0</v>
      </c>
      <c r="H42" s="1" t="n">
        <f aca="false">IF(cleaned_data!C39="North",1,0)</f>
        <v>1</v>
      </c>
      <c r="I42" s="1" t="n">
        <f aca="false">IF(cleaned_data!C39="South",1,0)</f>
        <v>0</v>
      </c>
      <c r="J42" s="1" t="n">
        <f aca="false">IF(cleaned_data!C39="West",1,0)</f>
        <v>0</v>
      </c>
    </row>
    <row r="43" customFormat="false" ht="15" hidden="false" customHeight="true" outlineLevel="0" collapsed="false">
      <c r="A43" s="1" t="str">
        <f aca="false">cleaned_data!A40</f>
        <v>STR-1010</v>
      </c>
      <c r="B43" s="3" t="n">
        <f aca="false">cleaned_data!B40</f>
        <v>45717</v>
      </c>
      <c r="C43" s="1" t="str">
        <f aca="false">cleaned_data!D40</f>
        <v>Mall</v>
      </c>
      <c r="D43" s="1" t="str">
        <f aca="false">cleaned_data!C40</f>
        <v>North</v>
      </c>
      <c r="E43" s="1" t="n">
        <f aca="false">IF(cleaned_data!D40="Mall",1,0)</f>
        <v>1</v>
      </c>
      <c r="F43" s="1" t="n">
        <f aca="false">IF(cleaned_data!D40="Residential",1,0)</f>
        <v>0</v>
      </c>
      <c r="G43" s="1" t="n">
        <f aca="false">IF(cleaned_data!D40="Airport",1,0)</f>
        <v>0</v>
      </c>
      <c r="H43" s="1" t="n">
        <f aca="false">IF(cleaned_data!C40="North",1,0)</f>
        <v>1</v>
      </c>
      <c r="I43" s="1" t="n">
        <f aca="false">IF(cleaned_data!C40="South",1,0)</f>
        <v>0</v>
      </c>
      <c r="J43" s="1" t="n">
        <f aca="false">IF(cleaned_data!C40="West",1,0)</f>
        <v>0</v>
      </c>
    </row>
    <row r="44" customFormat="false" ht="15" hidden="false" customHeight="true" outlineLevel="0" collapsed="false">
      <c r="A44" s="1" t="str">
        <f aca="false">cleaned_data!A41</f>
        <v>STR-1010</v>
      </c>
      <c r="B44" s="3" t="n">
        <f aca="false">cleaned_data!B41</f>
        <v>45748</v>
      </c>
      <c r="C44" s="1" t="str">
        <f aca="false">cleaned_data!D41</f>
        <v>Mall</v>
      </c>
      <c r="D44" s="1" t="str">
        <f aca="false">cleaned_data!C41</f>
        <v>North</v>
      </c>
      <c r="E44" s="1" t="n">
        <f aca="false">IF(cleaned_data!D41="Mall",1,0)</f>
        <v>1</v>
      </c>
      <c r="F44" s="1" t="n">
        <f aca="false">IF(cleaned_data!D41="Residential",1,0)</f>
        <v>0</v>
      </c>
      <c r="G44" s="1" t="n">
        <f aca="false">IF(cleaned_data!D41="Airport",1,0)</f>
        <v>0</v>
      </c>
      <c r="H44" s="1" t="n">
        <f aca="false">IF(cleaned_data!C41="North",1,0)</f>
        <v>1</v>
      </c>
      <c r="I44" s="1" t="n">
        <f aca="false">IF(cleaned_data!C41="South",1,0)</f>
        <v>0</v>
      </c>
      <c r="J44" s="1" t="n">
        <f aca="false">IF(cleaned_data!C41="West",1,0)</f>
        <v>0</v>
      </c>
    </row>
    <row r="45" customFormat="false" ht="15" hidden="false" customHeight="true" outlineLevel="0" collapsed="false">
      <c r="A45" s="1" t="str">
        <f aca="false">cleaned_data!A42</f>
        <v>STR-1011</v>
      </c>
      <c r="B45" s="3" t="n">
        <f aca="false">cleaned_data!B42</f>
        <v>45658</v>
      </c>
      <c r="C45" s="1" t="str">
        <f aca="false">cleaned_data!D42</f>
        <v>Mall</v>
      </c>
      <c r="D45" s="1" t="str">
        <f aca="false">cleaned_data!C42</f>
        <v>East</v>
      </c>
      <c r="E45" s="1" t="n">
        <f aca="false">IF(cleaned_data!D42="Mall",1,0)</f>
        <v>1</v>
      </c>
      <c r="F45" s="1" t="n">
        <f aca="false">IF(cleaned_data!D42="Residential",1,0)</f>
        <v>0</v>
      </c>
      <c r="G45" s="1" t="n">
        <f aca="false">IF(cleaned_data!D42="Airport",1,0)</f>
        <v>0</v>
      </c>
      <c r="H45" s="1" t="n">
        <f aca="false">IF(cleaned_data!C42="North",1,0)</f>
        <v>0</v>
      </c>
      <c r="I45" s="1" t="n">
        <f aca="false">IF(cleaned_data!C42="South",1,0)</f>
        <v>0</v>
      </c>
      <c r="J45" s="1" t="n">
        <f aca="false">IF(cleaned_data!C42="West",1,0)</f>
        <v>0</v>
      </c>
    </row>
    <row r="46" customFormat="false" ht="15" hidden="false" customHeight="true" outlineLevel="0" collapsed="false">
      <c r="A46" s="1" t="str">
        <f aca="false">cleaned_data!A43</f>
        <v>STR-1011</v>
      </c>
      <c r="B46" s="3" t="n">
        <f aca="false">cleaned_data!B43</f>
        <v>45689</v>
      </c>
      <c r="C46" s="1" t="str">
        <f aca="false">cleaned_data!D43</f>
        <v>Mall</v>
      </c>
      <c r="D46" s="1" t="str">
        <f aca="false">cleaned_data!C43</f>
        <v>East</v>
      </c>
      <c r="E46" s="1" t="n">
        <f aca="false">IF(cleaned_data!D43="Mall",1,0)</f>
        <v>1</v>
      </c>
      <c r="F46" s="1" t="n">
        <f aca="false">IF(cleaned_data!D43="Residential",1,0)</f>
        <v>0</v>
      </c>
      <c r="G46" s="1" t="n">
        <f aca="false">IF(cleaned_data!D43="Airport",1,0)</f>
        <v>0</v>
      </c>
      <c r="H46" s="1" t="n">
        <f aca="false">IF(cleaned_data!C43="North",1,0)</f>
        <v>0</v>
      </c>
      <c r="I46" s="1" t="n">
        <f aca="false">IF(cleaned_data!C43="South",1,0)</f>
        <v>0</v>
      </c>
      <c r="J46" s="1" t="n">
        <f aca="false">IF(cleaned_data!C43="West",1,0)</f>
        <v>0</v>
      </c>
    </row>
    <row r="47" customFormat="false" ht="15" hidden="false" customHeight="true" outlineLevel="0" collapsed="false">
      <c r="A47" s="1" t="str">
        <f aca="false">cleaned_data!A44</f>
        <v>STR-1011</v>
      </c>
      <c r="B47" s="3" t="n">
        <f aca="false">cleaned_data!B44</f>
        <v>45717</v>
      </c>
      <c r="C47" s="1" t="str">
        <f aca="false">cleaned_data!D44</f>
        <v>Mall</v>
      </c>
      <c r="D47" s="1" t="str">
        <f aca="false">cleaned_data!C44</f>
        <v>East</v>
      </c>
      <c r="E47" s="1" t="n">
        <f aca="false">IF(cleaned_data!D44="Mall",1,0)</f>
        <v>1</v>
      </c>
      <c r="F47" s="1" t="n">
        <f aca="false">IF(cleaned_data!D44="Residential",1,0)</f>
        <v>0</v>
      </c>
      <c r="G47" s="1" t="n">
        <f aca="false">IF(cleaned_data!D44="Airport",1,0)</f>
        <v>0</v>
      </c>
      <c r="H47" s="1" t="n">
        <f aca="false">IF(cleaned_data!C44="North",1,0)</f>
        <v>0</v>
      </c>
      <c r="I47" s="1" t="n">
        <f aca="false">IF(cleaned_data!C44="South",1,0)</f>
        <v>0</v>
      </c>
      <c r="J47" s="1" t="n">
        <f aca="false">IF(cleaned_data!C44="West",1,0)</f>
        <v>0</v>
      </c>
    </row>
    <row r="48" customFormat="false" ht="15" hidden="false" customHeight="true" outlineLevel="0" collapsed="false">
      <c r="A48" s="1" t="str">
        <f aca="false">cleaned_data!A45</f>
        <v>STR-1011</v>
      </c>
      <c r="B48" s="3" t="n">
        <f aca="false">cleaned_data!B45</f>
        <v>45748</v>
      </c>
      <c r="C48" s="1" t="str">
        <f aca="false">cleaned_data!D45</f>
        <v>Mall</v>
      </c>
      <c r="D48" s="1" t="str">
        <f aca="false">cleaned_data!C45</f>
        <v>East</v>
      </c>
      <c r="E48" s="1" t="n">
        <f aca="false">IF(cleaned_data!D45="Mall",1,0)</f>
        <v>1</v>
      </c>
      <c r="F48" s="1" t="n">
        <f aca="false">IF(cleaned_data!D45="Residential",1,0)</f>
        <v>0</v>
      </c>
      <c r="G48" s="1" t="n">
        <f aca="false">IF(cleaned_data!D45="Airport",1,0)</f>
        <v>0</v>
      </c>
      <c r="H48" s="1" t="n">
        <f aca="false">IF(cleaned_data!C45="North",1,0)</f>
        <v>0</v>
      </c>
      <c r="I48" s="1" t="n">
        <f aca="false">IF(cleaned_data!C45="South",1,0)</f>
        <v>0</v>
      </c>
      <c r="J48" s="1" t="n">
        <f aca="false">IF(cleaned_data!C45="West",1,0)</f>
        <v>0</v>
      </c>
    </row>
    <row r="49" customFormat="false" ht="15" hidden="false" customHeight="true" outlineLevel="0" collapsed="false">
      <c r="A49" s="1" t="str">
        <f aca="false">cleaned_data!A46</f>
        <v>STR-1012</v>
      </c>
      <c r="B49" s="3" t="n">
        <f aca="false">cleaned_data!B46</f>
        <v>45658</v>
      </c>
      <c r="C49" s="1" t="str">
        <f aca="false">cleaned_data!D46</f>
        <v>Residential</v>
      </c>
      <c r="D49" s="1" t="str">
        <f aca="false">cleaned_data!C46</f>
        <v>West</v>
      </c>
      <c r="E49" s="1" t="n">
        <f aca="false">IF(cleaned_data!D46="Mall",1,0)</f>
        <v>0</v>
      </c>
      <c r="F49" s="1" t="n">
        <f aca="false">IF(cleaned_data!D46="Residential",1,0)</f>
        <v>1</v>
      </c>
      <c r="G49" s="1" t="n">
        <f aca="false">IF(cleaned_data!D46="Airport",1,0)</f>
        <v>0</v>
      </c>
      <c r="H49" s="1" t="n">
        <f aca="false">IF(cleaned_data!C46="North",1,0)</f>
        <v>0</v>
      </c>
      <c r="I49" s="1" t="n">
        <f aca="false">IF(cleaned_data!C46="South",1,0)</f>
        <v>0</v>
      </c>
      <c r="J49" s="1" t="n">
        <f aca="false">IF(cleaned_data!C46="West",1,0)</f>
        <v>1</v>
      </c>
    </row>
    <row r="50" customFormat="false" ht="15" hidden="false" customHeight="true" outlineLevel="0" collapsed="false">
      <c r="A50" s="1" t="str">
        <f aca="false">cleaned_data!A47</f>
        <v>STR-1012</v>
      </c>
      <c r="B50" s="3" t="n">
        <f aca="false">cleaned_data!B47</f>
        <v>45689</v>
      </c>
      <c r="C50" s="1" t="str">
        <f aca="false">cleaned_data!D47</f>
        <v>Residential</v>
      </c>
      <c r="D50" s="1" t="str">
        <f aca="false">cleaned_data!C47</f>
        <v>West</v>
      </c>
      <c r="E50" s="1" t="n">
        <f aca="false">IF(cleaned_data!D47="Mall",1,0)</f>
        <v>0</v>
      </c>
      <c r="F50" s="1" t="n">
        <f aca="false">IF(cleaned_data!D47="Residential",1,0)</f>
        <v>1</v>
      </c>
      <c r="G50" s="1" t="n">
        <f aca="false">IF(cleaned_data!D47="Airport",1,0)</f>
        <v>0</v>
      </c>
      <c r="H50" s="1" t="n">
        <f aca="false">IF(cleaned_data!C47="North",1,0)</f>
        <v>0</v>
      </c>
      <c r="I50" s="1" t="n">
        <f aca="false">IF(cleaned_data!C47="South",1,0)</f>
        <v>0</v>
      </c>
      <c r="J50" s="1" t="n">
        <f aca="false">IF(cleaned_data!C47="West",1,0)</f>
        <v>1</v>
      </c>
    </row>
    <row r="51" customFormat="false" ht="15" hidden="false" customHeight="true" outlineLevel="0" collapsed="false">
      <c r="A51" s="1" t="str">
        <f aca="false">cleaned_data!A48</f>
        <v>STR-1012</v>
      </c>
      <c r="B51" s="3" t="n">
        <f aca="false">cleaned_data!B48</f>
        <v>45717</v>
      </c>
      <c r="C51" s="1" t="str">
        <f aca="false">cleaned_data!D48</f>
        <v>Residential</v>
      </c>
      <c r="D51" s="1" t="str">
        <f aca="false">cleaned_data!C48</f>
        <v>West</v>
      </c>
      <c r="E51" s="1" t="n">
        <f aca="false">IF(cleaned_data!D48="Mall",1,0)</f>
        <v>0</v>
      </c>
      <c r="F51" s="1" t="n">
        <f aca="false">IF(cleaned_data!D48="Residential",1,0)</f>
        <v>1</v>
      </c>
      <c r="G51" s="1" t="n">
        <f aca="false">IF(cleaned_data!D48="Airport",1,0)</f>
        <v>0</v>
      </c>
      <c r="H51" s="1" t="n">
        <f aca="false">IF(cleaned_data!C48="North",1,0)</f>
        <v>0</v>
      </c>
      <c r="I51" s="1" t="n">
        <f aca="false">IF(cleaned_data!C48="South",1,0)</f>
        <v>0</v>
      </c>
      <c r="J51" s="1" t="n">
        <f aca="false">IF(cleaned_data!C48="West",1,0)</f>
        <v>1</v>
      </c>
    </row>
    <row r="52" customFormat="false" ht="15" hidden="false" customHeight="true" outlineLevel="0" collapsed="false">
      <c r="A52" s="1" t="str">
        <f aca="false">cleaned_data!A49</f>
        <v>STR-1012</v>
      </c>
      <c r="B52" s="3" t="n">
        <f aca="false">cleaned_data!B49</f>
        <v>45748</v>
      </c>
      <c r="C52" s="1" t="str">
        <f aca="false">cleaned_data!D49</f>
        <v>Residential</v>
      </c>
      <c r="D52" s="1" t="str">
        <f aca="false">cleaned_data!C49</f>
        <v>West</v>
      </c>
      <c r="E52" s="1" t="n">
        <f aca="false">IF(cleaned_data!D49="Mall",1,0)</f>
        <v>0</v>
      </c>
      <c r="F52" s="1" t="n">
        <f aca="false">IF(cleaned_data!D49="Residential",1,0)</f>
        <v>1</v>
      </c>
      <c r="G52" s="1" t="n">
        <f aca="false">IF(cleaned_data!D49="Airport",1,0)</f>
        <v>0</v>
      </c>
      <c r="H52" s="1" t="n">
        <f aca="false">IF(cleaned_data!C49="North",1,0)</f>
        <v>0</v>
      </c>
      <c r="I52" s="1" t="n">
        <f aca="false">IF(cleaned_data!C49="South",1,0)</f>
        <v>0</v>
      </c>
      <c r="J52" s="1" t="n">
        <f aca="false">IF(cleaned_data!C49="West",1,0)</f>
        <v>1</v>
      </c>
    </row>
    <row r="53" customFormat="false" ht="15" hidden="false" customHeight="true" outlineLevel="0" collapsed="false">
      <c r="A53" s="1" t="str">
        <f aca="false">cleaned_data!A50</f>
        <v>STR-1013</v>
      </c>
      <c r="B53" s="3" t="n">
        <f aca="false">cleaned_data!B50</f>
        <v>45658</v>
      </c>
      <c r="C53" s="1" t="str">
        <f aca="false">cleaned_data!D50</f>
        <v>Mall</v>
      </c>
      <c r="D53" s="1" t="str">
        <f aca="false">cleaned_data!C50</f>
        <v>North</v>
      </c>
      <c r="E53" s="1" t="n">
        <f aca="false">IF(cleaned_data!D50="Mall",1,0)</f>
        <v>1</v>
      </c>
      <c r="F53" s="1" t="n">
        <f aca="false">IF(cleaned_data!D50="Residential",1,0)</f>
        <v>0</v>
      </c>
      <c r="G53" s="1" t="n">
        <f aca="false">IF(cleaned_data!D50="Airport",1,0)</f>
        <v>0</v>
      </c>
      <c r="H53" s="1" t="n">
        <f aca="false">IF(cleaned_data!C50="North",1,0)</f>
        <v>1</v>
      </c>
      <c r="I53" s="1" t="n">
        <f aca="false">IF(cleaned_data!C50="South",1,0)</f>
        <v>0</v>
      </c>
      <c r="J53" s="1" t="n">
        <f aca="false">IF(cleaned_data!C50="West",1,0)</f>
        <v>0</v>
      </c>
    </row>
    <row r="54" customFormat="false" ht="15" hidden="false" customHeight="true" outlineLevel="0" collapsed="false">
      <c r="A54" s="1" t="str">
        <f aca="false">cleaned_data!A51</f>
        <v>STR-1013</v>
      </c>
      <c r="B54" s="3" t="n">
        <f aca="false">cleaned_data!B51</f>
        <v>45689</v>
      </c>
      <c r="C54" s="1" t="str">
        <f aca="false">cleaned_data!D51</f>
        <v>Mall</v>
      </c>
      <c r="D54" s="1" t="str">
        <f aca="false">cleaned_data!C51</f>
        <v>North</v>
      </c>
      <c r="E54" s="1" t="n">
        <f aca="false">IF(cleaned_data!D51="Mall",1,0)</f>
        <v>1</v>
      </c>
      <c r="F54" s="1" t="n">
        <f aca="false">IF(cleaned_data!D51="Residential",1,0)</f>
        <v>0</v>
      </c>
      <c r="G54" s="1" t="n">
        <f aca="false">IF(cleaned_data!D51="Airport",1,0)</f>
        <v>0</v>
      </c>
      <c r="H54" s="1" t="n">
        <f aca="false">IF(cleaned_data!C51="North",1,0)</f>
        <v>1</v>
      </c>
      <c r="I54" s="1" t="n">
        <f aca="false">IF(cleaned_data!C51="South",1,0)</f>
        <v>0</v>
      </c>
      <c r="J54" s="1" t="n">
        <f aca="false">IF(cleaned_data!C51="West",1,0)</f>
        <v>0</v>
      </c>
    </row>
    <row r="55" customFormat="false" ht="15" hidden="false" customHeight="true" outlineLevel="0" collapsed="false">
      <c r="A55" s="1" t="str">
        <f aca="false">cleaned_data!A52</f>
        <v>STR-1013</v>
      </c>
      <c r="B55" s="3" t="n">
        <f aca="false">cleaned_data!B52</f>
        <v>45717</v>
      </c>
      <c r="C55" s="1" t="str">
        <f aca="false">cleaned_data!D52</f>
        <v>Mall</v>
      </c>
      <c r="D55" s="1" t="str">
        <f aca="false">cleaned_data!C52</f>
        <v>North</v>
      </c>
      <c r="E55" s="1" t="n">
        <f aca="false">IF(cleaned_data!D52="Mall",1,0)</f>
        <v>1</v>
      </c>
      <c r="F55" s="1" t="n">
        <f aca="false">IF(cleaned_data!D52="Residential",1,0)</f>
        <v>0</v>
      </c>
      <c r="G55" s="1" t="n">
        <f aca="false">IF(cleaned_data!D52="Airport",1,0)</f>
        <v>0</v>
      </c>
      <c r="H55" s="1" t="n">
        <f aca="false">IF(cleaned_data!C52="North",1,0)</f>
        <v>1</v>
      </c>
      <c r="I55" s="1" t="n">
        <f aca="false">IF(cleaned_data!C52="South",1,0)</f>
        <v>0</v>
      </c>
      <c r="J55" s="1" t="n">
        <f aca="false">IF(cleaned_data!C52="West",1,0)</f>
        <v>0</v>
      </c>
    </row>
    <row r="56" customFormat="false" ht="15" hidden="false" customHeight="true" outlineLevel="0" collapsed="false">
      <c r="A56" s="1" t="str">
        <f aca="false">cleaned_data!A53</f>
        <v>STR-1013</v>
      </c>
      <c r="B56" s="3" t="n">
        <f aca="false">cleaned_data!B53</f>
        <v>45748</v>
      </c>
      <c r="C56" s="1" t="str">
        <f aca="false">cleaned_data!D53</f>
        <v>Mall</v>
      </c>
      <c r="D56" s="1" t="str">
        <f aca="false">cleaned_data!C53</f>
        <v>North</v>
      </c>
      <c r="E56" s="1" t="n">
        <f aca="false">IF(cleaned_data!D53="Mall",1,0)</f>
        <v>1</v>
      </c>
      <c r="F56" s="1" t="n">
        <f aca="false">IF(cleaned_data!D53="Residential",1,0)</f>
        <v>0</v>
      </c>
      <c r="G56" s="1" t="n">
        <f aca="false">IF(cleaned_data!D53="Airport",1,0)</f>
        <v>0</v>
      </c>
      <c r="H56" s="1" t="n">
        <f aca="false">IF(cleaned_data!C53="North",1,0)</f>
        <v>1</v>
      </c>
      <c r="I56" s="1" t="n">
        <f aca="false">IF(cleaned_data!C53="South",1,0)</f>
        <v>0</v>
      </c>
      <c r="J56" s="1" t="n">
        <f aca="false">IF(cleaned_data!C53="West",1,0)</f>
        <v>0</v>
      </c>
    </row>
    <row r="57" customFormat="false" ht="15" hidden="false" customHeight="true" outlineLevel="0" collapsed="false">
      <c r="A57" s="1" t="str">
        <f aca="false">cleaned_data!A54</f>
        <v>STR-1014</v>
      </c>
      <c r="B57" s="3" t="n">
        <f aca="false">cleaned_data!B54</f>
        <v>45658</v>
      </c>
      <c r="C57" s="1" t="str">
        <f aca="false">cleaned_data!D54</f>
        <v>High Street</v>
      </c>
      <c r="D57" s="1" t="str">
        <f aca="false">cleaned_data!C54</f>
        <v>West</v>
      </c>
      <c r="E57" s="1" t="n">
        <f aca="false">IF(cleaned_data!D54="Mall",1,0)</f>
        <v>0</v>
      </c>
      <c r="F57" s="1" t="n">
        <f aca="false">IF(cleaned_data!D54="Residential",1,0)</f>
        <v>0</v>
      </c>
      <c r="G57" s="1" t="n">
        <f aca="false">IF(cleaned_data!D54="Airport",1,0)</f>
        <v>0</v>
      </c>
      <c r="H57" s="1" t="n">
        <f aca="false">IF(cleaned_data!C54="North",1,0)</f>
        <v>0</v>
      </c>
      <c r="I57" s="1" t="n">
        <f aca="false">IF(cleaned_data!C54="South",1,0)</f>
        <v>0</v>
      </c>
      <c r="J57" s="1" t="n">
        <f aca="false">IF(cleaned_data!C54="West",1,0)</f>
        <v>1</v>
      </c>
    </row>
    <row r="58" customFormat="false" ht="15" hidden="false" customHeight="true" outlineLevel="0" collapsed="false">
      <c r="A58" s="1" t="str">
        <f aca="false">cleaned_data!A55</f>
        <v>STR-1014</v>
      </c>
      <c r="B58" s="3" t="n">
        <f aca="false">cleaned_data!B55</f>
        <v>45689</v>
      </c>
      <c r="C58" s="1" t="str">
        <f aca="false">cleaned_data!D55</f>
        <v>High Street</v>
      </c>
      <c r="D58" s="1" t="str">
        <f aca="false">cleaned_data!C55</f>
        <v>West</v>
      </c>
      <c r="E58" s="1" t="n">
        <f aca="false">IF(cleaned_data!D55="Mall",1,0)</f>
        <v>0</v>
      </c>
      <c r="F58" s="1" t="n">
        <f aca="false">IF(cleaned_data!D55="Residential",1,0)</f>
        <v>0</v>
      </c>
      <c r="G58" s="1" t="n">
        <f aca="false">IF(cleaned_data!D55="Airport",1,0)</f>
        <v>0</v>
      </c>
      <c r="H58" s="1" t="n">
        <f aca="false">IF(cleaned_data!C55="North",1,0)</f>
        <v>0</v>
      </c>
      <c r="I58" s="1" t="n">
        <f aca="false">IF(cleaned_data!C55="South",1,0)</f>
        <v>0</v>
      </c>
      <c r="J58" s="1" t="n">
        <f aca="false">IF(cleaned_data!C55="West",1,0)</f>
        <v>1</v>
      </c>
    </row>
    <row r="59" customFormat="false" ht="15" hidden="false" customHeight="true" outlineLevel="0" collapsed="false">
      <c r="A59" s="1" t="str">
        <f aca="false">cleaned_data!A56</f>
        <v>STR-1014</v>
      </c>
      <c r="B59" s="3" t="n">
        <f aca="false">cleaned_data!B56</f>
        <v>45717</v>
      </c>
      <c r="C59" s="1" t="str">
        <f aca="false">cleaned_data!D56</f>
        <v>High Street</v>
      </c>
      <c r="D59" s="1" t="str">
        <f aca="false">cleaned_data!C56</f>
        <v>West</v>
      </c>
      <c r="E59" s="1" t="n">
        <f aca="false">IF(cleaned_data!D56="Mall",1,0)</f>
        <v>0</v>
      </c>
      <c r="F59" s="1" t="n">
        <f aca="false">IF(cleaned_data!D56="Residential",1,0)</f>
        <v>0</v>
      </c>
      <c r="G59" s="1" t="n">
        <f aca="false">IF(cleaned_data!D56="Airport",1,0)</f>
        <v>0</v>
      </c>
      <c r="H59" s="1" t="n">
        <f aca="false">IF(cleaned_data!C56="North",1,0)</f>
        <v>0</v>
      </c>
      <c r="I59" s="1" t="n">
        <f aca="false">IF(cleaned_data!C56="South",1,0)</f>
        <v>0</v>
      </c>
      <c r="J59" s="1" t="n">
        <f aca="false">IF(cleaned_data!C56="West",1,0)</f>
        <v>1</v>
      </c>
    </row>
    <row r="60" customFormat="false" ht="15" hidden="false" customHeight="true" outlineLevel="0" collapsed="false">
      <c r="A60" s="1" t="str">
        <f aca="false">cleaned_data!A57</f>
        <v>STR-1014</v>
      </c>
      <c r="B60" s="3" t="n">
        <f aca="false">cleaned_data!B57</f>
        <v>45748</v>
      </c>
      <c r="C60" s="1" t="str">
        <f aca="false">cleaned_data!D57</f>
        <v>High Street</v>
      </c>
      <c r="D60" s="1" t="str">
        <f aca="false">cleaned_data!C57</f>
        <v>West</v>
      </c>
      <c r="E60" s="1" t="n">
        <f aca="false">IF(cleaned_data!D57="Mall",1,0)</f>
        <v>0</v>
      </c>
      <c r="F60" s="1" t="n">
        <f aca="false">IF(cleaned_data!D57="Residential",1,0)</f>
        <v>0</v>
      </c>
      <c r="G60" s="1" t="n">
        <f aca="false">IF(cleaned_data!D57="Airport",1,0)</f>
        <v>0</v>
      </c>
      <c r="H60" s="1" t="n">
        <f aca="false">IF(cleaned_data!C57="North",1,0)</f>
        <v>0</v>
      </c>
      <c r="I60" s="1" t="n">
        <f aca="false">IF(cleaned_data!C57="South",1,0)</f>
        <v>0</v>
      </c>
      <c r="J60" s="1" t="n">
        <f aca="false">IF(cleaned_data!C57="West",1,0)</f>
        <v>1</v>
      </c>
    </row>
    <row r="61" customFormat="false" ht="15" hidden="false" customHeight="true" outlineLevel="0" collapsed="false">
      <c r="A61" s="1" t="str">
        <f aca="false">cleaned_data!A58</f>
        <v>STR-1015</v>
      </c>
      <c r="B61" s="3" t="n">
        <f aca="false">cleaned_data!B58</f>
        <v>45658</v>
      </c>
      <c r="C61" s="1" t="str">
        <f aca="false">cleaned_data!D58</f>
        <v>Airport</v>
      </c>
      <c r="D61" s="1" t="str">
        <f aca="false">cleaned_data!C58</f>
        <v>East</v>
      </c>
      <c r="E61" s="1" t="n">
        <f aca="false">IF(cleaned_data!D58="Mall",1,0)</f>
        <v>0</v>
      </c>
      <c r="F61" s="1" t="n">
        <f aca="false">IF(cleaned_data!D58="Residential",1,0)</f>
        <v>0</v>
      </c>
      <c r="G61" s="1" t="n">
        <f aca="false">IF(cleaned_data!D58="Airport",1,0)</f>
        <v>1</v>
      </c>
      <c r="H61" s="1" t="n">
        <f aca="false">IF(cleaned_data!C58="North",1,0)</f>
        <v>0</v>
      </c>
      <c r="I61" s="1" t="n">
        <f aca="false">IF(cleaned_data!C58="South",1,0)</f>
        <v>0</v>
      </c>
      <c r="J61" s="1" t="n">
        <f aca="false">IF(cleaned_data!C58="West",1,0)</f>
        <v>0</v>
      </c>
    </row>
    <row r="62" customFormat="false" ht="15" hidden="false" customHeight="true" outlineLevel="0" collapsed="false">
      <c r="A62" s="1" t="str">
        <f aca="false">cleaned_data!A59</f>
        <v>STR-1015</v>
      </c>
      <c r="B62" s="3" t="n">
        <f aca="false">cleaned_data!B59</f>
        <v>45689</v>
      </c>
      <c r="C62" s="1" t="str">
        <f aca="false">cleaned_data!D59</f>
        <v>Airport</v>
      </c>
      <c r="D62" s="1" t="str">
        <f aca="false">cleaned_data!C59</f>
        <v>East</v>
      </c>
      <c r="E62" s="1" t="n">
        <f aca="false">IF(cleaned_data!D59="Mall",1,0)</f>
        <v>0</v>
      </c>
      <c r="F62" s="1" t="n">
        <f aca="false">IF(cleaned_data!D59="Residential",1,0)</f>
        <v>0</v>
      </c>
      <c r="G62" s="1" t="n">
        <f aca="false">IF(cleaned_data!D59="Airport",1,0)</f>
        <v>1</v>
      </c>
      <c r="H62" s="1" t="n">
        <f aca="false">IF(cleaned_data!C59="North",1,0)</f>
        <v>0</v>
      </c>
      <c r="I62" s="1" t="n">
        <f aca="false">IF(cleaned_data!C59="South",1,0)</f>
        <v>0</v>
      </c>
      <c r="J62" s="1" t="n">
        <f aca="false">IF(cleaned_data!C59="West",1,0)</f>
        <v>0</v>
      </c>
    </row>
    <row r="63" customFormat="false" ht="15" hidden="false" customHeight="true" outlineLevel="0" collapsed="false">
      <c r="A63" s="1" t="str">
        <f aca="false">cleaned_data!A60</f>
        <v>STR-1015</v>
      </c>
      <c r="B63" s="3" t="n">
        <f aca="false">cleaned_data!B60</f>
        <v>45717</v>
      </c>
      <c r="C63" s="1" t="str">
        <f aca="false">cleaned_data!D60</f>
        <v>Airport</v>
      </c>
      <c r="D63" s="1" t="str">
        <f aca="false">cleaned_data!C60</f>
        <v>East</v>
      </c>
      <c r="E63" s="1" t="n">
        <f aca="false">IF(cleaned_data!D60="Mall",1,0)</f>
        <v>0</v>
      </c>
      <c r="F63" s="1" t="n">
        <f aca="false">IF(cleaned_data!D60="Residential",1,0)</f>
        <v>0</v>
      </c>
      <c r="G63" s="1" t="n">
        <f aca="false">IF(cleaned_data!D60="Airport",1,0)</f>
        <v>1</v>
      </c>
      <c r="H63" s="1" t="n">
        <f aca="false">IF(cleaned_data!C60="North",1,0)</f>
        <v>0</v>
      </c>
      <c r="I63" s="1" t="n">
        <f aca="false">IF(cleaned_data!C60="South",1,0)</f>
        <v>0</v>
      </c>
      <c r="J63" s="1" t="n">
        <f aca="false">IF(cleaned_data!C60="West",1,0)</f>
        <v>0</v>
      </c>
    </row>
    <row r="64" customFormat="false" ht="15" hidden="false" customHeight="true" outlineLevel="0" collapsed="false">
      <c r="A64" s="1" t="str">
        <f aca="false">cleaned_data!A61</f>
        <v>STR-1015</v>
      </c>
      <c r="B64" s="3" t="n">
        <f aca="false">cleaned_data!B61</f>
        <v>45748</v>
      </c>
      <c r="C64" s="1" t="str">
        <f aca="false">cleaned_data!D61</f>
        <v>Airport</v>
      </c>
      <c r="D64" s="1" t="str">
        <f aca="false">cleaned_data!C61</f>
        <v>East</v>
      </c>
      <c r="E64" s="1" t="n">
        <f aca="false">IF(cleaned_data!D61="Mall",1,0)</f>
        <v>0</v>
      </c>
      <c r="F64" s="1" t="n">
        <f aca="false">IF(cleaned_data!D61="Residential",1,0)</f>
        <v>0</v>
      </c>
      <c r="G64" s="1" t="n">
        <f aca="false">IF(cleaned_data!D61="Airport",1,0)</f>
        <v>1</v>
      </c>
      <c r="H64" s="1" t="n">
        <f aca="false">IF(cleaned_data!C61="North",1,0)</f>
        <v>0</v>
      </c>
      <c r="I64" s="1" t="n">
        <f aca="false">IF(cleaned_data!C61="South",1,0)</f>
        <v>0</v>
      </c>
      <c r="J64" s="1" t="n">
        <f aca="false">IF(cleaned_data!C61="West",1,0)</f>
        <v>0</v>
      </c>
    </row>
    <row r="65" customFormat="false" ht="15" hidden="false" customHeight="true" outlineLevel="0" collapsed="false">
      <c r="A65" s="1" t="str">
        <f aca="false">cleaned_data!A62</f>
        <v>STR-1016</v>
      </c>
      <c r="B65" s="3" t="n">
        <f aca="false">cleaned_data!B62</f>
        <v>45658</v>
      </c>
      <c r="C65" s="1" t="str">
        <f aca="false">cleaned_data!D62</f>
        <v>High Street</v>
      </c>
      <c r="D65" s="1" t="str">
        <f aca="false">cleaned_data!C62</f>
        <v>South</v>
      </c>
      <c r="E65" s="1" t="n">
        <f aca="false">IF(cleaned_data!D62="Mall",1,0)</f>
        <v>0</v>
      </c>
      <c r="F65" s="1" t="n">
        <f aca="false">IF(cleaned_data!D62="Residential",1,0)</f>
        <v>0</v>
      </c>
      <c r="G65" s="1" t="n">
        <f aca="false">IF(cleaned_data!D62="Airport",1,0)</f>
        <v>0</v>
      </c>
      <c r="H65" s="1" t="n">
        <f aca="false">IF(cleaned_data!C62="North",1,0)</f>
        <v>0</v>
      </c>
      <c r="I65" s="1" t="n">
        <f aca="false">IF(cleaned_data!C62="South",1,0)</f>
        <v>1</v>
      </c>
      <c r="J65" s="1" t="n">
        <f aca="false">IF(cleaned_data!C62="West",1,0)</f>
        <v>0</v>
      </c>
    </row>
    <row r="66" customFormat="false" ht="15" hidden="false" customHeight="true" outlineLevel="0" collapsed="false">
      <c r="A66" s="1" t="str">
        <f aca="false">cleaned_data!A63</f>
        <v>STR-1016</v>
      </c>
      <c r="B66" s="3" t="n">
        <f aca="false">cleaned_data!B63</f>
        <v>45689</v>
      </c>
      <c r="C66" s="1" t="str">
        <f aca="false">cleaned_data!D63</f>
        <v>High Street</v>
      </c>
      <c r="D66" s="1" t="str">
        <f aca="false">cleaned_data!C63</f>
        <v>South</v>
      </c>
      <c r="E66" s="1" t="n">
        <f aca="false">IF(cleaned_data!D63="Mall",1,0)</f>
        <v>0</v>
      </c>
      <c r="F66" s="1" t="n">
        <f aca="false">IF(cleaned_data!D63="Residential",1,0)</f>
        <v>0</v>
      </c>
      <c r="G66" s="1" t="n">
        <f aca="false">IF(cleaned_data!D63="Airport",1,0)</f>
        <v>0</v>
      </c>
      <c r="H66" s="1" t="n">
        <f aca="false">IF(cleaned_data!C63="North",1,0)</f>
        <v>0</v>
      </c>
      <c r="I66" s="1" t="n">
        <f aca="false">IF(cleaned_data!C63="South",1,0)</f>
        <v>1</v>
      </c>
      <c r="J66" s="1" t="n">
        <f aca="false">IF(cleaned_data!C63="West",1,0)</f>
        <v>0</v>
      </c>
    </row>
    <row r="67" customFormat="false" ht="15" hidden="false" customHeight="true" outlineLevel="0" collapsed="false">
      <c r="A67" s="1" t="str">
        <f aca="false">cleaned_data!A64</f>
        <v>STR-1016</v>
      </c>
      <c r="B67" s="3" t="n">
        <f aca="false">cleaned_data!B64</f>
        <v>45717</v>
      </c>
      <c r="C67" s="1" t="str">
        <f aca="false">cleaned_data!D64</f>
        <v>High Street</v>
      </c>
      <c r="D67" s="1" t="str">
        <f aca="false">cleaned_data!C64</f>
        <v>South</v>
      </c>
      <c r="E67" s="1" t="n">
        <f aca="false">IF(cleaned_data!D64="Mall",1,0)</f>
        <v>0</v>
      </c>
      <c r="F67" s="1" t="n">
        <f aca="false">IF(cleaned_data!D64="Residential",1,0)</f>
        <v>0</v>
      </c>
      <c r="G67" s="1" t="n">
        <f aca="false">IF(cleaned_data!D64="Airport",1,0)</f>
        <v>0</v>
      </c>
      <c r="H67" s="1" t="n">
        <f aca="false">IF(cleaned_data!C64="North",1,0)</f>
        <v>0</v>
      </c>
      <c r="I67" s="1" t="n">
        <f aca="false">IF(cleaned_data!C64="South",1,0)</f>
        <v>1</v>
      </c>
      <c r="J67" s="1" t="n">
        <f aca="false">IF(cleaned_data!C64="West",1,0)</f>
        <v>0</v>
      </c>
    </row>
    <row r="68" customFormat="false" ht="15" hidden="false" customHeight="true" outlineLevel="0" collapsed="false">
      <c r="A68" s="1" t="str">
        <f aca="false">cleaned_data!A65</f>
        <v>STR-1016</v>
      </c>
      <c r="B68" s="3" t="n">
        <f aca="false">cleaned_data!B65</f>
        <v>45748</v>
      </c>
      <c r="C68" s="1" t="str">
        <f aca="false">cleaned_data!D65</f>
        <v>High Street</v>
      </c>
      <c r="D68" s="1" t="str">
        <f aca="false">cleaned_data!C65</f>
        <v>South</v>
      </c>
      <c r="E68" s="1" t="n">
        <f aca="false">IF(cleaned_data!D65="Mall",1,0)</f>
        <v>0</v>
      </c>
      <c r="F68" s="1" t="n">
        <f aca="false">IF(cleaned_data!D65="Residential",1,0)</f>
        <v>0</v>
      </c>
      <c r="G68" s="1" t="n">
        <f aca="false">IF(cleaned_data!D65="Airport",1,0)</f>
        <v>0</v>
      </c>
      <c r="H68" s="1" t="n">
        <f aca="false">IF(cleaned_data!C65="North",1,0)</f>
        <v>0</v>
      </c>
      <c r="I68" s="1" t="n">
        <f aca="false">IF(cleaned_data!C65="South",1,0)</f>
        <v>1</v>
      </c>
      <c r="J68" s="1" t="n">
        <f aca="false">IF(cleaned_data!C65="West",1,0)</f>
        <v>0</v>
      </c>
    </row>
    <row r="69" customFormat="false" ht="15" hidden="false" customHeight="true" outlineLevel="0" collapsed="false">
      <c r="A69" s="1" t="str">
        <f aca="false">cleaned_data!A66</f>
        <v>STR-1017</v>
      </c>
      <c r="B69" s="3" t="n">
        <f aca="false">cleaned_data!B66</f>
        <v>45658</v>
      </c>
      <c r="C69" s="1" t="str">
        <f aca="false">cleaned_data!D66</f>
        <v>High Street</v>
      </c>
      <c r="D69" s="1" t="str">
        <f aca="false">cleaned_data!C66</f>
        <v>West</v>
      </c>
      <c r="E69" s="1" t="n">
        <f aca="false">IF(cleaned_data!D66="Mall",1,0)</f>
        <v>0</v>
      </c>
      <c r="F69" s="1" t="n">
        <f aca="false">IF(cleaned_data!D66="Residential",1,0)</f>
        <v>0</v>
      </c>
      <c r="G69" s="1" t="n">
        <f aca="false">IF(cleaned_data!D66="Airport",1,0)</f>
        <v>0</v>
      </c>
      <c r="H69" s="1" t="n">
        <f aca="false">IF(cleaned_data!C66="North",1,0)</f>
        <v>0</v>
      </c>
      <c r="I69" s="1" t="n">
        <f aca="false">IF(cleaned_data!C66="South",1,0)</f>
        <v>0</v>
      </c>
      <c r="J69" s="1" t="n">
        <f aca="false">IF(cleaned_data!C66="West",1,0)</f>
        <v>1</v>
      </c>
    </row>
    <row r="70" customFormat="false" ht="15" hidden="false" customHeight="true" outlineLevel="0" collapsed="false">
      <c r="A70" s="1" t="str">
        <f aca="false">cleaned_data!A67</f>
        <v>STR-1017</v>
      </c>
      <c r="B70" s="3" t="n">
        <f aca="false">cleaned_data!B67</f>
        <v>45689</v>
      </c>
      <c r="C70" s="1" t="str">
        <f aca="false">cleaned_data!D67</f>
        <v>High Street</v>
      </c>
      <c r="D70" s="1" t="str">
        <f aca="false">cleaned_data!C67</f>
        <v>West</v>
      </c>
      <c r="E70" s="1" t="n">
        <f aca="false">IF(cleaned_data!D67="Mall",1,0)</f>
        <v>0</v>
      </c>
      <c r="F70" s="1" t="n">
        <f aca="false">IF(cleaned_data!D67="Residential",1,0)</f>
        <v>0</v>
      </c>
      <c r="G70" s="1" t="n">
        <f aca="false">IF(cleaned_data!D67="Airport",1,0)</f>
        <v>0</v>
      </c>
      <c r="H70" s="1" t="n">
        <f aca="false">IF(cleaned_data!C67="North",1,0)</f>
        <v>0</v>
      </c>
      <c r="I70" s="1" t="n">
        <f aca="false">IF(cleaned_data!C67="South",1,0)</f>
        <v>0</v>
      </c>
      <c r="J70" s="1" t="n">
        <f aca="false">IF(cleaned_data!C67="West",1,0)</f>
        <v>1</v>
      </c>
    </row>
    <row r="71" customFormat="false" ht="15" hidden="false" customHeight="true" outlineLevel="0" collapsed="false">
      <c r="A71" s="1" t="str">
        <f aca="false">cleaned_data!A68</f>
        <v>STR-1017</v>
      </c>
      <c r="B71" s="3" t="n">
        <f aca="false">cleaned_data!B68</f>
        <v>45717</v>
      </c>
      <c r="C71" s="1" t="str">
        <f aca="false">cleaned_data!D68</f>
        <v>High Street</v>
      </c>
      <c r="D71" s="1" t="str">
        <f aca="false">cleaned_data!C68</f>
        <v>West</v>
      </c>
      <c r="E71" s="1" t="n">
        <f aca="false">IF(cleaned_data!D68="Mall",1,0)</f>
        <v>0</v>
      </c>
      <c r="F71" s="1" t="n">
        <f aca="false">IF(cleaned_data!D68="Residential",1,0)</f>
        <v>0</v>
      </c>
      <c r="G71" s="1" t="n">
        <f aca="false">IF(cleaned_data!D68="Airport",1,0)</f>
        <v>0</v>
      </c>
      <c r="H71" s="1" t="n">
        <f aca="false">IF(cleaned_data!C68="North",1,0)</f>
        <v>0</v>
      </c>
      <c r="I71" s="1" t="n">
        <f aca="false">IF(cleaned_data!C68="South",1,0)</f>
        <v>0</v>
      </c>
      <c r="J71" s="1" t="n">
        <f aca="false">IF(cleaned_data!C68="West",1,0)</f>
        <v>1</v>
      </c>
    </row>
    <row r="72" customFormat="false" ht="15" hidden="false" customHeight="true" outlineLevel="0" collapsed="false">
      <c r="A72" s="1" t="str">
        <f aca="false">cleaned_data!A69</f>
        <v>STR-1017</v>
      </c>
      <c r="B72" s="3" t="n">
        <f aca="false">cleaned_data!B69</f>
        <v>45748</v>
      </c>
      <c r="C72" s="1" t="str">
        <f aca="false">cleaned_data!D69</f>
        <v>High Street</v>
      </c>
      <c r="D72" s="1" t="str">
        <f aca="false">cleaned_data!C69</f>
        <v>West</v>
      </c>
      <c r="E72" s="1" t="n">
        <f aca="false">IF(cleaned_data!D69="Mall",1,0)</f>
        <v>0</v>
      </c>
      <c r="F72" s="1" t="n">
        <f aca="false">IF(cleaned_data!D69="Residential",1,0)</f>
        <v>0</v>
      </c>
      <c r="G72" s="1" t="n">
        <f aca="false">IF(cleaned_data!D69="Airport",1,0)</f>
        <v>0</v>
      </c>
      <c r="H72" s="1" t="n">
        <f aca="false">IF(cleaned_data!C69="North",1,0)</f>
        <v>0</v>
      </c>
      <c r="I72" s="1" t="n">
        <f aca="false">IF(cleaned_data!C69="South",1,0)</f>
        <v>0</v>
      </c>
      <c r="J72" s="1" t="n">
        <f aca="false">IF(cleaned_data!C69="West",1,0)</f>
        <v>1</v>
      </c>
    </row>
    <row r="73" customFormat="false" ht="15" hidden="false" customHeight="true" outlineLevel="0" collapsed="false">
      <c r="A73" s="1" t="str">
        <f aca="false">cleaned_data!A70</f>
        <v>STR-1018</v>
      </c>
      <c r="B73" s="3" t="n">
        <f aca="false">cleaned_data!B70</f>
        <v>45658</v>
      </c>
      <c r="C73" s="1" t="str">
        <f aca="false">cleaned_data!D70</f>
        <v>High Street</v>
      </c>
      <c r="D73" s="1" t="str">
        <f aca="false">cleaned_data!C70</f>
        <v>East</v>
      </c>
      <c r="E73" s="1" t="n">
        <f aca="false">IF(cleaned_data!D70="Mall",1,0)</f>
        <v>0</v>
      </c>
      <c r="F73" s="1" t="n">
        <f aca="false">IF(cleaned_data!D70="Residential",1,0)</f>
        <v>0</v>
      </c>
      <c r="G73" s="1" t="n">
        <f aca="false">IF(cleaned_data!D70="Airport",1,0)</f>
        <v>0</v>
      </c>
      <c r="H73" s="1" t="n">
        <f aca="false">IF(cleaned_data!C70="North",1,0)</f>
        <v>0</v>
      </c>
      <c r="I73" s="1" t="n">
        <f aca="false">IF(cleaned_data!C70="South",1,0)</f>
        <v>0</v>
      </c>
      <c r="J73" s="1" t="n">
        <f aca="false">IF(cleaned_data!C70="West",1,0)</f>
        <v>0</v>
      </c>
    </row>
    <row r="74" customFormat="false" ht="15" hidden="false" customHeight="true" outlineLevel="0" collapsed="false">
      <c r="A74" s="1" t="str">
        <f aca="false">cleaned_data!A71</f>
        <v>STR-1018</v>
      </c>
      <c r="B74" s="3" t="n">
        <f aca="false">cleaned_data!B71</f>
        <v>45689</v>
      </c>
      <c r="C74" s="1" t="str">
        <f aca="false">cleaned_data!D71</f>
        <v>High Street</v>
      </c>
      <c r="D74" s="1" t="str">
        <f aca="false">cleaned_data!C71</f>
        <v>East</v>
      </c>
      <c r="E74" s="1" t="n">
        <f aca="false">IF(cleaned_data!D71="Mall",1,0)</f>
        <v>0</v>
      </c>
      <c r="F74" s="1" t="n">
        <f aca="false">IF(cleaned_data!D71="Residential",1,0)</f>
        <v>0</v>
      </c>
      <c r="G74" s="1" t="n">
        <f aca="false">IF(cleaned_data!D71="Airport",1,0)</f>
        <v>0</v>
      </c>
      <c r="H74" s="1" t="n">
        <f aca="false">IF(cleaned_data!C71="North",1,0)</f>
        <v>0</v>
      </c>
      <c r="I74" s="1" t="n">
        <f aca="false">IF(cleaned_data!C71="South",1,0)</f>
        <v>0</v>
      </c>
      <c r="J74" s="1" t="n">
        <f aca="false">IF(cleaned_data!C71="West",1,0)</f>
        <v>0</v>
      </c>
    </row>
    <row r="75" customFormat="false" ht="15" hidden="false" customHeight="true" outlineLevel="0" collapsed="false">
      <c r="A75" s="1" t="str">
        <f aca="false">cleaned_data!A72</f>
        <v>STR-1018</v>
      </c>
      <c r="B75" s="3" t="n">
        <f aca="false">cleaned_data!B72</f>
        <v>45717</v>
      </c>
      <c r="C75" s="1" t="str">
        <f aca="false">cleaned_data!D72</f>
        <v>High Street</v>
      </c>
      <c r="D75" s="1" t="str">
        <f aca="false">cleaned_data!C72</f>
        <v>East</v>
      </c>
      <c r="E75" s="1" t="n">
        <f aca="false">IF(cleaned_data!D72="Mall",1,0)</f>
        <v>0</v>
      </c>
      <c r="F75" s="1" t="n">
        <f aca="false">IF(cleaned_data!D72="Residential",1,0)</f>
        <v>0</v>
      </c>
      <c r="G75" s="1" t="n">
        <f aca="false">IF(cleaned_data!D72="Airport",1,0)</f>
        <v>0</v>
      </c>
      <c r="H75" s="1" t="n">
        <f aca="false">IF(cleaned_data!C72="North",1,0)</f>
        <v>0</v>
      </c>
      <c r="I75" s="1" t="n">
        <f aca="false">IF(cleaned_data!C72="South",1,0)</f>
        <v>0</v>
      </c>
      <c r="J75" s="1" t="n">
        <f aca="false">IF(cleaned_data!C72="West",1,0)</f>
        <v>0</v>
      </c>
    </row>
    <row r="76" customFormat="false" ht="15" hidden="false" customHeight="true" outlineLevel="0" collapsed="false">
      <c r="A76" s="1" t="str">
        <f aca="false">cleaned_data!A73</f>
        <v>STR-1018</v>
      </c>
      <c r="B76" s="3" t="n">
        <f aca="false">cleaned_data!B73</f>
        <v>45748</v>
      </c>
      <c r="C76" s="1" t="str">
        <f aca="false">cleaned_data!D73</f>
        <v>High Street</v>
      </c>
      <c r="D76" s="1" t="str">
        <f aca="false">cleaned_data!C73</f>
        <v>East</v>
      </c>
      <c r="E76" s="1" t="n">
        <f aca="false">IF(cleaned_data!D73="Mall",1,0)</f>
        <v>0</v>
      </c>
      <c r="F76" s="1" t="n">
        <f aca="false">IF(cleaned_data!D73="Residential",1,0)</f>
        <v>0</v>
      </c>
      <c r="G76" s="1" t="n">
        <f aca="false">IF(cleaned_data!D73="Airport",1,0)</f>
        <v>0</v>
      </c>
      <c r="H76" s="1" t="n">
        <f aca="false">IF(cleaned_data!C73="North",1,0)</f>
        <v>0</v>
      </c>
      <c r="I76" s="1" t="n">
        <f aca="false">IF(cleaned_data!C73="South",1,0)</f>
        <v>0</v>
      </c>
      <c r="J76" s="1" t="n">
        <f aca="false">IF(cleaned_data!C73="West",1,0)</f>
        <v>0</v>
      </c>
    </row>
    <row r="77" customFormat="false" ht="15" hidden="false" customHeight="true" outlineLevel="0" collapsed="false">
      <c r="A77" s="1" t="str">
        <f aca="false">cleaned_data!A74</f>
        <v>STR-1019</v>
      </c>
      <c r="B77" s="3" t="n">
        <f aca="false">cleaned_data!B74</f>
        <v>45658</v>
      </c>
      <c r="C77" s="1" t="str">
        <f aca="false">cleaned_data!D74</f>
        <v>Residential</v>
      </c>
      <c r="D77" s="1" t="str">
        <f aca="false">cleaned_data!C74</f>
        <v>East</v>
      </c>
      <c r="E77" s="1" t="n">
        <f aca="false">IF(cleaned_data!D74="Mall",1,0)</f>
        <v>0</v>
      </c>
      <c r="F77" s="1" t="n">
        <f aca="false">IF(cleaned_data!D74="Residential",1,0)</f>
        <v>1</v>
      </c>
      <c r="G77" s="1" t="n">
        <f aca="false">IF(cleaned_data!D74="Airport",1,0)</f>
        <v>0</v>
      </c>
      <c r="H77" s="1" t="n">
        <f aca="false">IF(cleaned_data!C74="North",1,0)</f>
        <v>0</v>
      </c>
      <c r="I77" s="1" t="n">
        <f aca="false">IF(cleaned_data!C74="South",1,0)</f>
        <v>0</v>
      </c>
      <c r="J77" s="1" t="n">
        <f aca="false">IF(cleaned_data!C74="West",1,0)</f>
        <v>0</v>
      </c>
    </row>
    <row r="78" customFormat="false" ht="15" hidden="false" customHeight="true" outlineLevel="0" collapsed="false">
      <c r="A78" s="1" t="str">
        <f aca="false">cleaned_data!A75</f>
        <v>STR-1019</v>
      </c>
      <c r="B78" s="3" t="n">
        <f aca="false">cleaned_data!B75</f>
        <v>45689</v>
      </c>
      <c r="C78" s="1" t="str">
        <f aca="false">cleaned_data!D75</f>
        <v>Residential</v>
      </c>
      <c r="D78" s="1" t="str">
        <f aca="false">cleaned_data!C75</f>
        <v>East</v>
      </c>
      <c r="E78" s="1" t="n">
        <f aca="false">IF(cleaned_data!D75="Mall",1,0)</f>
        <v>0</v>
      </c>
      <c r="F78" s="1" t="n">
        <f aca="false">IF(cleaned_data!D75="Residential",1,0)</f>
        <v>1</v>
      </c>
      <c r="G78" s="1" t="n">
        <f aca="false">IF(cleaned_data!D75="Airport",1,0)</f>
        <v>0</v>
      </c>
      <c r="H78" s="1" t="n">
        <f aca="false">IF(cleaned_data!C75="North",1,0)</f>
        <v>0</v>
      </c>
      <c r="I78" s="1" t="n">
        <f aca="false">IF(cleaned_data!C75="South",1,0)</f>
        <v>0</v>
      </c>
      <c r="J78" s="1" t="n">
        <f aca="false">IF(cleaned_data!C75="West",1,0)</f>
        <v>0</v>
      </c>
    </row>
    <row r="79" customFormat="false" ht="15" hidden="false" customHeight="true" outlineLevel="0" collapsed="false">
      <c r="A79" s="1" t="str">
        <f aca="false">cleaned_data!A76</f>
        <v>STR-1019</v>
      </c>
      <c r="B79" s="3" t="n">
        <f aca="false">cleaned_data!B76</f>
        <v>45717</v>
      </c>
      <c r="C79" s="1" t="str">
        <f aca="false">cleaned_data!D76</f>
        <v>Residential</v>
      </c>
      <c r="D79" s="1" t="str">
        <f aca="false">cleaned_data!C76</f>
        <v>East</v>
      </c>
      <c r="E79" s="1" t="n">
        <f aca="false">IF(cleaned_data!D76="Mall",1,0)</f>
        <v>0</v>
      </c>
      <c r="F79" s="1" t="n">
        <f aca="false">IF(cleaned_data!D76="Residential",1,0)</f>
        <v>1</v>
      </c>
      <c r="G79" s="1" t="n">
        <f aca="false">IF(cleaned_data!D76="Airport",1,0)</f>
        <v>0</v>
      </c>
      <c r="H79" s="1" t="n">
        <f aca="false">IF(cleaned_data!C76="North",1,0)</f>
        <v>0</v>
      </c>
      <c r="I79" s="1" t="n">
        <f aca="false">IF(cleaned_data!C76="South",1,0)</f>
        <v>0</v>
      </c>
      <c r="J79" s="1" t="n">
        <f aca="false">IF(cleaned_data!C76="West",1,0)</f>
        <v>0</v>
      </c>
    </row>
    <row r="80" customFormat="false" ht="15" hidden="false" customHeight="true" outlineLevel="0" collapsed="false">
      <c r="A80" s="1" t="str">
        <f aca="false">cleaned_data!A77</f>
        <v>STR-1019</v>
      </c>
      <c r="B80" s="3" t="n">
        <f aca="false">cleaned_data!B77</f>
        <v>45748</v>
      </c>
      <c r="C80" s="1" t="str">
        <f aca="false">cleaned_data!D77</f>
        <v>Residential</v>
      </c>
      <c r="D80" s="1" t="str">
        <f aca="false">cleaned_data!C77</f>
        <v>East</v>
      </c>
      <c r="E80" s="1" t="n">
        <f aca="false">IF(cleaned_data!D77="Mall",1,0)</f>
        <v>0</v>
      </c>
      <c r="F80" s="1" t="n">
        <f aca="false">IF(cleaned_data!D77="Residential",1,0)</f>
        <v>1</v>
      </c>
      <c r="G80" s="1" t="n">
        <f aca="false">IF(cleaned_data!D77="Airport",1,0)</f>
        <v>0</v>
      </c>
      <c r="H80" s="1" t="n">
        <f aca="false">IF(cleaned_data!C77="North",1,0)</f>
        <v>0</v>
      </c>
      <c r="I80" s="1" t="n">
        <f aca="false">IF(cleaned_data!C77="South",1,0)</f>
        <v>0</v>
      </c>
      <c r="J80" s="1" t="n">
        <f aca="false">IF(cleaned_data!C77="West",1,0)</f>
        <v>0</v>
      </c>
    </row>
    <row r="81" customFormat="false" ht="15" hidden="false" customHeight="true" outlineLevel="0" collapsed="false">
      <c r="A81" s="1" t="str">
        <f aca="false">cleaned_data!A78</f>
        <v>STR-1020</v>
      </c>
      <c r="B81" s="3" t="n">
        <f aca="false">cleaned_data!B78</f>
        <v>45658</v>
      </c>
      <c r="C81" s="1" t="str">
        <f aca="false">cleaned_data!D78</f>
        <v>High Street</v>
      </c>
      <c r="D81" s="1" t="str">
        <f aca="false">cleaned_data!C78</f>
        <v>South</v>
      </c>
      <c r="E81" s="1" t="n">
        <f aca="false">IF(cleaned_data!D78="Mall",1,0)</f>
        <v>0</v>
      </c>
      <c r="F81" s="1" t="n">
        <f aca="false">IF(cleaned_data!D78="Residential",1,0)</f>
        <v>0</v>
      </c>
      <c r="G81" s="1" t="n">
        <f aca="false">IF(cleaned_data!D78="Airport",1,0)</f>
        <v>0</v>
      </c>
      <c r="H81" s="1" t="n">
        <f aca="false">IF(cleaned_data!C78="North",1,0)</f>
        <v>0</v>
      </c>
      <c r="I81" s="1" t="n">
        <f aca="false">IF(cleaned_data!C78="South",1,0)</f>
        <v>1</v>
      </c>
      <c r="J81" s="1" t="n">
        <f aca="false">IF(cleaned_data!C78="West",1,0)</f>
        <v>0</v>
      </c>
    </row>
    <row r="82" customFormat="false" ht="15" hidden="false" customHeight="true" outlineLevel="0" collapsed="false">
      <c r="A82" s="1" t="str">
        <f aca="false">cleaned_data!A79</f>
        <v>STR-1020</v>
      </c>
      <c r="B82" s="3" t="n">
        <f aca="false">cleaned_data!B79</f>
        <v>45689</v>
      </c>
      <c r="C82" s="1" t="str">
        <f aca="false">cleaned_data!D79</f>
        <v>High Street</v>
      </c>
      <c r="D82" s="1" t="str">
        <f aca="false">cleaned_data!C79</f>
        <v>South</v>
      </c>
      <c r="E82" s="1" t="n">
        <f aca="false">IF(cleaned_data!D79="Mall",1,0)</f>
        <v>0</v>
      </c>
      <c r="F82" s="1" t="n">
        <f aca="false">IF(cleaned_data!D79="Residential",1,0)</f>
        <v>0</v>
      </c>
      <c r="G82" s="1" t="n">
        <f aca="false">IF(cleaned_data!D79="Airport",1,0)</f>
        <v>0</v>
      </c>
      <c r="H82" s="1" t="n">
        <f aca="false">IF(cleaned_data!C79="North",1,0)</f>
        <v>0</v>
      </c>
      <c r="I82" s="1" t="n">
        <f aca="false">IF(cleaned_data!C79="South",1,0)</f>
        <v>1</v>
      </c>
      <c r="J82" s="1" t="n">
        <f aca="false">IF(cleaned_data!C79="West",1,0)</f>
        <v>0</v>
      </c>
    </row>
    <row r="83" customFormat="false" ht="15" hidden="false" customHeight="true" outlineLevel="0" collapsed="false">
      <c r="A83" s="1" t="str">
        <f aca="false">cleaned_data!A80</f>
        <v>STR-1020</v>
      </c>
      <c r="B83" s="3" t="n">
        <f aca="false">cleaned_data!B80</f>
        <v>45717</v>
      </c>
      <c r="C83" s="1" t="str">
        <f aca="false">cleaned_data!D80</f>
        <v>High Street</v>
      </c>
      <c r="D83" s="1" t="str">
        <f aca="false">cleaned_data!C80</f>
        <v>South</v>
      </c>
      <c r="E83" s="1" t="n">
        <f aca="false">IF(cleaned_data!D80="Mall",1,0)</f>
        <v>0</v>
      </c>
      <c r="F83" s="1" t="n">
        <f aca="false">IF(cleaned_data!D80="Residential",1,0)</f>
        <v>0</v>
      </c>
      <c r="G83" s="1" t="n">
        <f aca="false">IF(cleaned_data!D80="Airport",1,0)</f>
        <v>0</v>
      </c>
      <c r="H83" s="1" t="n">
        <f aca="false">IF(cleaned_data!C80="North",1,0)</f>
        <v>0</v>
      </c>
      <c r="I83" s="1" t="n">
        <f aca="false">IF(cleaned_data!C80="South",1,0)</f>
        <v>1</v>
      </c>
      <c r="J83" s="1" t="n">
        <f aca="false">IF(cleaned_data!C80="West",1,0)</f>
        <v>0</v>
      </c>
    </row>
    <row r="84" customFormat="false" ht="15" hidden="false" customHeight="true" outlineLevel="0" collapsed="false">
      <c r="A84" s="1" t="str">
        <f aca="false">cleaned_data!A81</f>
        <v>STR-1020</v>
      </c>
      <c r="B84" s="3" t="n">
        <f aca="false">cleaned_data!B81</f>
        <v>45748</v>
      </c>
      <c r="C84" s="1" t="str">
        <f aca="false">cleaned_data!D81</f>
        <v>High Street</v>
      </c>
      <c r="D84" s="1" t="str">
        <f aca="false">cleaned_data!C81</f>
        <v>South</v>
      </c>
      <c r="E84" s="1" t="n">
        <f aca="false">IF(cleaned_data!D81="Mall",1,0)</f>
        <v>0</v>
      </c>
      <c r="F84" s="1" t="n">
        <f aca="false">IF(cleaned_data!D81="Residential",1,0)</f>
        <v>0</v>
      </c>
      <c r="G84" s="1" t="n">
        <f aca="false">IF(cleaned_data!D81="Airport",1,0)</f>
        <v>0</v>
      </c>
      <c r="H84" s="1" t="n">
        <f aca="false">IF(cleaned_data!C81="North",1,0)</f>
        <v>0</v>
      </c>
      <c r="I84" s="1" t="n">
        <f aca="false">IF(cleaned_data!C81="South",1,0)</f>
        <v>1</v>
      </c>
      <c r="J84" s="1" t="n">
        <f aca="false">IF(cleaned_data!C81="West",1,0)</f>
        <v>0</v>
      </c>
    </row>
    <row r="85" customFormat="false" ht="15" hidden="false" customHeight="true" outlineLevel="0" collapsed="false">
      <c r="A85" s="1" t="str">
        <f aca="false">cleaned_data!A82</f>
        <v>STR-1021</v>
      </c>
      <c r="B85" s="3" t="n">
        <f aca="false">cleaned_data!B82</f>
        <v>45658</v>
      </c>
      <c r="C85" s="1" t="str">
        <f aca="false">cleaned_data!D82</f>
        <v>Mall</v>
      </c>
      <c r="D85" s="1" t="str">
        <f aca="false">cleaned_data!C82</f>
        <v>West</v>
      </c>
      <c r="E85" s="1" t="n">
        <f aca="false">IF(cleaned_data!D82="Mall",1,0)</f>
        <v>1</v>
      </c>
      <c r="F85" s="1" t="n">
        <f aca="false">IF(cleaned_data!D82="Residential",1,0)</f>
        <v>0</v>
      </c>
      <c r="G85" s="1" t="n">
        <f aca="false">IF(cleaned_data!D82="Airport",1,0)</f>
        <v>0</v>
      </c>
      <c r="H85" s="1" t="n">
        <f aca="false">IF(cleaned_data!C82="North",1,0)</f>
        <v>0</v>
      </c>
      <c r="I85" s="1" t="n">
        <f aca="false">IF(cleaned_data!C82="South",1,0)</f>
        <v>0</v>
      </c>
      <c r="J85" s="1" t="n">
        <f aca="false">IF(cleaned_data!C82="West",1,0)</f>
        <v>1</v>
      </c>
    </row>
    <row r="86" customFormat="false" ht="15" hidden="false" customHeight="true" outlineLevel="0" collapsed="false">
      <c r="A86" s="1" t="str">
        <f aca="false">cleaned_data!A83</f>
        <v>STR-1021</v>
      </c>
      <c r="B86" s="3" t="n">
        <f aca="false">cleaned_data!B83</f>
        <v>45689</v>
      </c>
      <c r="C86" s="1" t="str">
        <f aca="false">cleaned_data!D83</f>
        <v>Mall</v>
      </c>
      <c r="D86" s="1" t="str">
        <f aca="false">cleaned_data!C83</f>
        <v>West</v>
      </c>
      <c r="E86" s="1" t="n">
        <f aca="false">IF(cleaned_data!D83="Mall",1,0)</f>
        <v>1</v>
      </c>
      <c r="F86" s="1" t="n">
        <f aca="false">IF(cleaned_data!D83="Residential",1,0)</f>
        <v>0</v>
      </c>
      <c r="G86" s="1" t="n">
        <f aca="false">IF(cleaned_data!D83="Airport",1,0)</f>
        <v>0</v>
      </c>
      <c r="H86" s="1" t="n">
        <f aca="false">IF(cleaned_data!C83="North",1,0)</f>
        <v>0</v>
      </c>
      <c r="I86" s="1" t="n">
        <f aca="false">IF(cleaned_data!C83="South",1,0)</f>
        <v>0</v>
      </c>
      <c r="J86" s="1" t="n">
        <f aca="false">IF(cleaned_data!C83="West",1,0)</f>
        <v>1</v>
      </c>
    </row>
    <row r="87" customFormat="false" ht="15" hidden="false" customHeight="true" outlineLevel="0" collapsed="false">
      <c r="A87" s="1" t="str">
        <f aca="false">cleaned_data!A84</f>
        <v>STR-1021</v>
      </c>
      <c r="B87" s="3" t="n">
        <f aca="false">cleaned_data!B84</f>
        <v>45717</v>
      </c>
      <c r="C87" s="1" t="str">
        <f aca="false">cleaned_data!D84</f>
        <v>Mall</v>
      </c>
      <c r="D87" s="1" t="str">
        <f aca="false">cleaned_data!C84</f>
        <v>West</v>
      </c>
      <c r="E87" s="1" t="n">
        <f aca="false">IF(cleaned_data!D84="Mall",1,0)</f>
        <v>1</v>
      </c>
      <c r="F87" s="1" t="n">
        <f aca="false">IF(cleaned_data!D84="Residential",1,0)</f>
        <v>0</v>
      </c>
      <c r="G87" s="1" t="n">
        <f aca="false">IF(cleaned_data!D84="Airport",1,0)</f>
        <v>0</v>
      </c>
      <c r="H87" s="1" t="n">
        <f aca="false">IF(cleaned_data!C84="North",1,0)</f>
        <v>0</v>
      </c>
      <c r="I87" s="1" t="n">
        <f aca="false">IF(cleaned_data!C84="South",1,0)</f>
        <v>0</v>
      </c>
      <c r="J87" s="1" t="n">
        <f aca="false">IF(cleaned_data!C84="West",1,0)</f>
        <v>1</v>
      </c>
    </row>
    <row r="88" customFormat="false" ht="15" hidden="false" customHeight="true" outlineLevel="0" collapsed="false">
      <c r="A88" s="1" t="str">
        <f aca="false">cleaned_data!A85</f>
        <v>STR-1021</v>
      </c>
      <c r="B88" s="3" t="n">
        <f aca="false">cleaned_data!B85</f>
        <v>45748</v>
      </c>
      <c r="C88" s="1" t="str">
        <f aca="false">cleaned_data!D85</f>
        <v>Mall</v>
      </c>
      <c r="D88" s="1" t="str">
        <f aca="false">cleaned_data!C85</f>
        <v>West</v>
      </c>
      <c r="E88" s="1" t="n">
        <f aca="false">IF(cleaned_data!D85="Mall",1,0)</f>
        <v>1</v>
      </c>
      <c r="F88" s="1" t="n">
        <f aca="false">IF(cleaned_data!D85="Residential",1,0)</f>
        <v>0</v>
      </c>
      <c r="G88" s="1" t="n">
        <f aca="false">IF(cleaned_data!D85="Airport",1,0)</f>
        <v>0</v>
      </c>
      <c r="H88" s="1" t="n">
        <f aca="false">IF(cleaned_data!C85="North",1,0)</f>
        <v>0</v>
      </c>
      <c r="I88" s="1" t="n">
        <f aca="false">IF(cleaned_data!C85="South",1,0)</f>
        <v>0</v>
      </c>
      <c r="J88" s="1" t="n">
        <f aca="false">IF(cleaned_data!C85="West",1,0)</f>
        <v>1</v>
      </c>
    </row>
    <row r="89" customFormat="false" ht="15" hidden="false" customHeight="true" outlineLevel="0" collapsed="false">
      <c r="A89" s="1" t="str">
        <f aca="false">cleaned_data!A86</f>
        <v>STR-1022</v>
      </c>
      <c r="B89" s="3" t="n">
        <f aca="false">cleaned_data!B86</f>
        <v>45658</v>
      </c>
      <c r="C89" s="1" t="str">
        <f aca="false">cleaned_data!D86</f>
        <v>High Street</v>
      </c>
      <c r="D89" s="1" t="str">
        <f aca="false">cleaned_data!C86</f>
        <v>West</v>
      </c>
      <c r="E89" s="1" t="n">
        <f aca="false">IF(cleaned_data!D86="Mall",1,0)</f>
        <v>0</v>
      </c>
      <c r="F89" s="1" t="n">
        <f aca="false">IF(cleaned_data!D86="Residential",1,0)</f>
        <v>0</v>
      </c>
      <c r="G89" s="1" t="n">
        <f aca="false">IF(cleaned_data!D86="Airport",1,0)</f>
        <v>0</v>
      </c>
      <c r="H89" s="1" t="n">
        <f aca="false">IF(cleaned_data!C86="North",1,0)</f>
        <v>0</v>
      </c>
      <c r="I89" s="1" t="n">
        <f aca="false">IF(cleaned_data!C86="South",1,0)</f>
        <v>0</v>
      </c>
      <c r="J89" s="1" t="n">
        <f aca="false">IF(cleaned_data!C86="West",1,0)</f>
        <v>1</v>
      </c>
    </row>
    <row r="90" customFormat="false" ht="15" hidden="false" customHeight="true" outlineLevel="0" collapsed="false">
      <c r="A90" s="1" t="str">
        <f aca="false">cleaned_data!A87</f>
        <v>STR-1022</v>
      </c>
      <c r="B90" s="3" t="n">
        <f aca="false">cleaned_data!B87</f>
        <v>45689</v>
      </c>
      <c r="C90" s="1" t="str">
        <f aca="false">cleaned_data!D87</f>
        <v>High Street</v>
      </c>
      <c r="D90" s="1" t="str">
        <f aca="false">cleaned_data!C87</f>
        <v>West</v>
      </c>
      <c r="E90" s="1" t="n">
        <f aca="false">IF(cleaned_data!D87="Mall",1,0)</f>
        <v>0</v>
      </c>
      <c r="F90" s="1" t="n">
        <f aca="false">IF(cleaned_data!D87="Residential",1,0)</f>
        <v>0</v>
      </c>
      <c r="G90" s="1" t="n">
        <f aca="false">IF(cleaned_data!D87="Airport",1,0)</f>
        <v>0</v>
      </c>
      <c r="H90" s="1" t="n">
        <f aca="false">IF(cleaned_data!C87="North",1,0)</f>
        <v>0</v>
      </c>
      <c r="I90" s="1" t="n">
        <f aca="false">IF(cleaned_data!C87="South",1,0)</f>
        <v>0</v>
      </c>
      <c r="J90" s="1" t="n">
        <f aca="false">IF(cleaned_data!C87="West",1,0)</f>
        <v>1</v>
      </c>
    </row>
    <row r="91" customFormat="false" ht="15" hidden="false" customHeight="true" outlineLevel="0" collapsed="false">
      <c r="A91" s="1" t="str">
        <f aca="false">cleaned_data!A88</f>
        <v>STR-1022</v>
      </c>
      <c r="B91" s="3" t="n">
        <f aca="false">cleaned_data!B88</f>
        <v>45717</v>
      </c>
      <c r="C91" s="1" t="str">
        <f aca="false">cleaned_data!D88</f>
        <v>High Street</v>
      </c>
      <c r="D91" s="1" t="str">
        <f aca="false">cleaned_data!C88</f>
        <v>West</v>
      </c>
      <c r="E91" s="1" t="n">
        <f aca="false">IF(cleaned_data!D88="Mall",1,0)</f>
        <v>0</v>
      </c>
      <c r="F91" s="1" t="n">
        <f aca="false">IF(cleaned_data!D88="Residential",1,0)</f>
        <v>0</v>
      </c>
      <c r="G91" s="1" t="n">
        <f aca="false">IF(cleaned_data!D88="Airport",1,0)</f>
        <v>0</v>
      </c>
      <c r="H91" s="1" t="n">
        <f aca="false">IF(cleaned_data!C88="North",1,0)</f>
        <v>0</v>
      </c>
      <c r="I91" s="1" t="n">
        <f aca="false">IF(cleaned_data!C88="South",1,0)</f>
        <v>0</v>
      </c>
      <c r="J91" s="1" t="n">
        <f aca="false">IF(cleaned_data!C88="West",1,0)</f>
        <v>1</v>
      </c>
    </row>
    <row r="92" customFormat="false" ht="15" hidden="false" customHeight="true" outlineLevel="0" collapsed="false">
      <c r="A92" s="1" t="str">
        <f aca="false">cleaned_data!A89</f>
        <v>STR-1022</v>
      </c>
      <c r="B92" s="3" t="n">
        <f aca="false">cleaned_data!B89</f>
        <v>45748</v>
      </c>
      <c r="C92" s="1" t="str">
        <f aca="false">cleaned_data!D89</f>
        <v>High Street</v>
      </c>
      <c r="D92" s="1" t="str">
        <f aca="false">cleaned_data!C89</f>
        <v>West</v>
      </c>
      <c r="E92" s="1" t="n">
        <f aca="false">IF(cleaned_data!D89="Mall",1,0)</f>
        <v>0</v>
      </c>
      <c r="F92" s="1" t="n">
        <f aca="false">IF(cleaned_data!D89="Residential",1,0)</f>
        <v>0</v>
      </c>
      <c r="G92" s="1" t="n">
        <f aca="false">IF(cleaned_data!D89="Airport",1,0)</f>
        <v>0</v>
      </c>
      <c r="H92" s="1" t="n">
        <f aca="false">IF(cleaned_data!C89="North",1,0)</f>
        <v>0</v>
      </c>
      <c r="I92" s="1" t="n">
        <f aca="false">IF(cleaned_data!C89="South",1,0)</f>
        <v>0</v>
      </c>
      <c r="J92" s="1" t="n">
        <f aca="false">IF(cleaned_data!C89="West",1,0)</f>
        <v>1</v>
      </c>
    </row>
    <row r="93" customFormat="false" ht="15" hidden="false" customHeight="true" outlineLevel="0" collapsed="false">
      <c r="A93" s="1" t="str">
        <f aca="false">cleaned_data!A90</f>
        <v>STR-1023</v>
      </c>
      <c r="B93" s="3" t="n">
        <f aca="false">cleaned_data!B90</f>
        <v>45658</v>
      </c>
      <c r="C93" s="1" t="str">
        <f aca="false">cleaned_data!D90</f>
        <v>Mall</v>
      </c>
      <c r="D93" s="1" t="str">
        <f aca="false">cleaned_data!C90</f>
        <v>South</v>
      </c>
      <c r="E93" s="1" t="n">
        <f aca="false">IF(cleaned_data!D90="Mall",1,0)</f>
        <v>1</v>
      </c>
      <c r="F93" s="1" t="n">
        <f aca="false">IF(cleaned_data!D90="Residential",1,0)</f>
        <v>0</v>
      </c>
      <c r="G93" s="1" t="n">
        <f aca="false">IF(cleaned_data!D90="Airport",1,0)</f>
        <v>0</v>
      </c>
      <c r="H93" s="1" t="n">
        <f aca="false">IF(cleaned_data!C90="North",1,0)</f>
        <v>0</v>
      </c>
      <c r="I93" s="1" t="n">
        <f aca="false">IF(cleaned_data!C90="South",1,0)</f>
        <v>1</v>
      </c>
      <c r="J93" s="1" t="n">
        <f aca="false">IF(cleaned_data!C90="West",1,0)</f>
        <v>0</v>
      </c>
    </row>
    <row r="94" customFormat="false" ht="15" hidden="false" customHeight="true" outlineLevel="0" collapsed="false">
      <c r="A94" s="1" t="str">
        <f aca="false">cleaned_data!A91</f>
        <v>STR-1023</v>
      </c>
      <c r="B94" s="3" t="n">
        <f aca="false">cleaned_data!B91</f>
        <v>45689</v>
      </c>
      <c r="C94" s="1" t="str">
        <f aca="false">cleaned_data!D91</f>
        <v>Mall</v>
      </c>
      <c r="D94" s="1" t="str">
        <f aca="false">cleaned_data!C91</f>
        <v>South</v>
      </c>
      <c r="E94" s="1" t="n">
        <f aca="false">IF(cleaned_data!D91="Mall",1,0)</f>
        <v>1</v>
      </c>
      <c r="F94" s="1" t="n">
        <f aca="false">IF(cleaned_data!D91="Residential",1,0)</f>
        <v>0</v>
      </c>
      <c r="G94" s="1" t="n">
        <f aca="false">IF(cleaned_data!D91="Airport",1,0)</f>
        <v>0</v>
      </c>
      <c r="H94" s="1" t="n">
        <f aca="false">IF(cleaned_data!C91="North",1,0)</f>
        <v>0</v>
      </c>
      <c r="I94" s="1" t="n">
        <f aca="false">IF(cleaned_data!C91="South",1,0)</f>
        <v>1</v>
      </c>
      <c r="J94" s="1" t="n">
        <f aca="false">IF(cleaned_data!C91="West",1,0)</f>
        <v>0</v>
      </c>
    </row>
    <row r="95" customFormat="false" ht="15" hidden="false" customHeight="true" outlineLevel="0" collapsed="false">
      <c r="A95" s="1" t="str">
        <f aca="false">cleaned_data!A92</f>
        <v>STR-1023</v>
      </c>
      <c r="B95" s="3" t="n">
        <f aca="false">cleaned_data!B92</f>
        <v>45717</v>
      </c>
      <c r="C95" s="1" t="str">
        <f aca="false">cleaned_data!D92</f>
        <v>Mall</v>
      </c>
      <c r="D95" s="1" t="str">
        <f aca="false">cleaned_data!C92</f>
        <v>South</v>
      </c>
      <c r="E95" s="1" t="n">
        <f aca="false">IF(cleaned_data!D92="Mall",1,0)</f>
        <v>1</v>
      </c>
      <c r="F95" s="1" t="n">
        <f aca="false">IF(cleaned_data!D92="Residential",1,0)</f>
        <v>0</v>
      </c>
      <c r="G95" s="1" t="n">
        <f aca="false">IF(cleaned_data!D92="Airport",1,0)</f>
        <v>0</v>
      </c>
      <c r="H95" s="1" t="n">
        <f aca="false">IF(cleaned_data!C92="North",1,0)</f>
        <v>0</v>
      </c>
      <c r="I95" s="1" t="n">
        <f aca="false">IF(cleaned_data!C92="South",1,0)</f>
        <v>1</v>
      </c>
      <c r="J95" s="1" t="n">
        <f aca="false">IF(cleaned_data!C92="West",1,0)</f>
        <v>0</v>
      </c>
    </row>
    <row r="96" customFormat="false" ht="15" hidden="false" customHeight="true" outlineLevel="0" collapsed="false">
      <c r="A96" s="1" t="str">
        <f aca="false">cleaned_data!A93</f>
        <v>STR-1023</v>
      </c>
      <c r="B96" s="3" t="n">
        <f aca="false">cleaned_data!B93</f>
        <v>45748</v>
      </c>
      <c r="C96" s="1" t="str">
        <f aca="false">cleaned_data!D93</f>
        <v>Mall</v>
      </c>
      <c r="D96" s="1" t="str">
        <f aca="false">cleaned_data!C93</f>
        <v>South</v>
      </c>
      <c r="E96" s="1" t="n">
        <f aca="false">IF(cleaned_data!D93="Mall",1,0)</f>
        <v>1</v>
      </c>
      <c r="F96" s="1" t="n">
        <f aca="false">IF(cleaned_data!D93="Residential",1,0)</f>
        <v>0</v>
      </c>
      <c r="G96" s="1" t="n">
        <f aca="false">IF(cleaned_data!D93="Airport",1,0)</f>
        <v>0</v>
      </c>
      <c r="H96" s="1" t="n">
        <f aca="false">IF(cleaned_data!C93="North",1,0)</f>
        <v>0</v>
      </c>
      <c r="I96" s="1" t="n">
        <f aca="false">IF(cleaned_data!C93="South",1,0)</f>
        <v>1</v>
      </c>
      <c r="J96" s="1" t="n">
        <f aca="false">IF(cleaned_data!C93="West",1,0)</f>
        <v>0</v>
      </c>
    </row>
    <row r="97" customFormat="false" ht="15" hidden="false" customHeight="true" outlineLevel="0" collapsed="false">
      <c r="A97" s="1" t="str">
        <f aca="false">cleaned_data!A94</f>
        <v>STR-1024</v>
      </c>
      <c r="B97" s="3" t="n">
        <f aca="false">cleaned_data!B94</f>
        <v>45658</v>
      </c>
      <c r="C97" s="1" t="str">
        <f aca="false">cleaned_data!D94</f>
        <v>Residential</v>
      </c>
      <c r="D97" s="1" t="str">
        <f aca="false">cleaned_data!C94</f>
        <v>West</v>
      </c>
      <c r="E97" s="1" t="n">
        <f aca="false">IF(cleaned_data!D94="Mall",1,0)</f>
        <v>0</v>
      </c>
      <c r="F97" s="1" t="n">
        <f aca="false">IF(cleaned_data!D94="Residential",1,0)</f>
        <v>1</v>
      </c>
      <c r="G97" s="1" t="n">
        <f aca="false">IF(cleaned_data!D94="Airport",1,0)</f>
        <v>0</v>
      </c>
      <c r="H97" s="1" t="n">
        <f aca="false">IF(cleaned_data!C94="North",1,0)</f>
        <v>0</v>
      </c>
      <c r="I97" s="1" t="n">
        <f aca="false">IF(cleaned_data!C94="South",1,0)</f>
        <v>0</v>
      </c>
      <c r="J97" s="1" t="n">
        <f aca="false">IF(cleaned_data!C94="West",1,0)</f>
        <v>1</v>
      </c>
    </row>
    <row r="98" customFormat="false" ht="15" hidden="false" customHeight="true" outlineLevel="0" collapsed="false">
      <c r="A98" s="1" t="str">
        <f aca="false">cleaned_data!A95</f>
        <v>STR-1024</v>
      </c>
      <c r="B98" s="3" t="n">
        <f aca="false">cleaned_data!B95</f>
        <v>45689</v>
      </c>
      <c r="C98" s="1" t="str">
        <f aca="false">cleaned_data!D95</f>
        <v>Residential</v>
      </c>
      <c r="D98" s="1" t="str">
        <f aca="false">cleaned_data!C95</f>
        <v>West</v>
      </c>
      <c r="E98" s="1" t="n">
        <f aca="false">IF(cleaned_data!D95="Mall",1,0)</f>
        <v>0</v>
      </c>
      <c r="F98" s="1" t="n">
        <f aca="false">IF(cleaned_data!D95="Residential",1,0)</f>
        <v>1</v>
      </c>
      <c r="G98" s="1" t="n">
        <f aca="false">IF(cleaned_data!D95="Airport",1,0)</f>
        <v>0</v>
      </c>
      <c r="H98" s="1" t="n">
        <f aca="false">IF(cleaned_data!C95="North",1,0)</f>
        <v>0</v>
      </c>
      <c r="I98" s="1" t="n">
        <f aca="false">IF(cleaned_data!C95="South",1,0)</f>
        <v>0</v>
      </c>
      <c r="J98" s="1" t="n">
        <f aca="false">IF(cleaned_data!C95="West",1,0)</f>
        <v>1</v>
      </c>
    </row>
    <row r="99" customFormat="false" ht="15" hidden="false" customHeight="true" outlineLevel="0" collapsed="false">
      <c r="A99" s="1" t="str">
        <f aca="false">cleaned_data!A96</f>
        <v>STR-1024</v>
      </c>
      <c r="B99" s="3" t="n">
        <f aca="false">cleaned_data!B96</f>
        <v>45717</v>
      </c>
      <c r="C99" s="1" t="str">
        <f aca="false">cleaned_data!D96</f>
        <v>Residential</v>
      </c>
      <c r="D99" s="1" t="str">
        <f aca="false">cleaned_data!C96</f>
        <v>West</v>
      </c>
      <c r="E99" s="1" t="n">
        <f aca="false">IF(cleaned_data!D96="Mall",1,0)</f>
        <v>0</v>
      </c>
      <c r="F99" s="1" t="n">
        <f aca="false">IF(cleaned_data!D96="Residential",1,0)</f>
        <v>1</v>
      </c>
      <c r="G99" s="1" t="n">
        <f aca="false">IF(cleaned_data!D96="Airport",1,0)</f>
        <v>0</v>
      </c>
      <c r="H99" s="1" t="n">
        <f aca="false">IF(cleaned_data!C96="North",1,0)</f>
        <v>0</v>
      </c>
      <c r="I99" s="1" t="n">
        <f aca="false">IF(cleaned_data!C96="South",1,0)</f>
        <v>0</v>
      </c>
      <c r="J99" s="1" t="n">
        <f aca="false">IF(cleaned_data!C96="West",1,0)</f>
        <v>1</v>
      </c>
    </row>
    <row r="100" customFormat="false" ht="15" hidden="false" customHeight="true" outlineLevel="0" collapsed="false">
      <c r="A100" s="1" t="str">
        <f aca="false">cleaned_data!A97</f>
        <v>STR-1024</v>
      </c>
      <c r="B100" s="3" t="n">
        <f aca="false">cleaned_data!B97</f>
        <v>45748</v>
      </c>
      <c r="C100" s="1" t="str">
        <f aca="false">cleaned_data!D97</f>
        <v>Residential</v>
      </c>
      <c r="D100" s="1" t="str">
        <f aca="false">cleaned_data!C97</f>
        <v>West</v>
      </c>
      <c r="E100" s="1" t="n">
        <f aca="false">IF(cleaned_data!D97="Mall",1,0)</f>
        <v>0</v>
      </c>
      <c r="F100" s="1" t="n">
        <f aca="false">IF(cleaned_data!D97="Residential",1,0)</f>
        <v>1</v>
      </c>
      <c r="G100" s="1" t="n">
        <f aca="false">IF(cleaned_data!D97="Airport",1,0)</f>
        <v>0</v>
      </c>
      <c r="H100" s="1" t="n">
        <f aca="false">IF(cleaned_data!C97="North",1,0)</f>
        <v>0</v>
      </c>
      <c r="I100" s="1" t="n">
        <f aca="false">IF(cleaned_data!C97="South",1,0)</f>
        <v>0</v>
      </c>
      <c r="J100" s="1" t="n">
        <f aca="false">IF(cleaned_data!C97="West",1,0)</f>
        <v>1</v>
      </c>
    </row>
    <row r="101" customFormat="false" ht="15" hidden="false" customHeight="true" outlineLevel="0" collapsed="false">
      <c r="A101" s="1" t="str">
        <f aca="false">cleaned_data!A98</f>
        <v>STR-1025</v>
      </c>
      <c r="B101" s="3" t="n">
        <f aca="false">cleaned_data!B98</f>
        <v>45658</v>
      </c>
      <c r="C101" s="1" t="str">
        <f aca="false">cleaned_data!D98</f>
        <v>Mall</v>
      </c>
      <c r="D101" s="1" t="str">
        <f aca="false">cleaned_data!C98</f>
        <v>West</v>
      </c>
      <c r="E101" s="1" t="n">
        <f aca="false">IF(cleaned_data!D98="Mall",1,0)</f>
        <v>1</v>
      </c>
      <c r="F101" s="1" t="n">
        <f aca="false">IF(cleaned_data!D98="Residential",1,0)</f>
        <v>0</v>
      </c>
      <c r="G101" s="1" t="n">
        <f aca="false">IF(cleaned_data!D98="Airport",1,0)</f>
        <v>0</v>
      </c>
      <c r="H101" s="1" t="n">
        <f aca="false">IF(cleaned_data!C98="North",1,0)</f>
        <v>0</v>
      </c>
      <c r="I101" s="1" t="n">
        <f aca="false">IF(cleaned_data!C98="South",1,0)</f>
        <v>0</v>
      </c>
      <c r="J101" s="1" t="n">
        <f aca="false">IF(cleaned_data!C98="West",1,0)</f>
        <v>1</v>
      </c>
    </row>
    <row r="102" customFormat="false" ht="15" hidden="false" customHeight="true" outlineLevel="0" collapsed="false">
      <c r="A102" s="1" t="str">
        <f aca="false">cleaned_data!A99</f>
        <v>STR-1025</v>
      </c>
      <c r="B102" s="3" t="n">
        <f aca="false">cleaned_data!B99</f>
        <v>45689</v>
      </c>
      <c r="C102" s="1" t="str">
        <f aca="false">cleaned_data!D99</f>
        <v>Mall</v>
      </c>
      <c r="D102" s="1" t="str">
        <f aca="false">cleaned_data!C99</f>
        <v>West</v>
      </c>
      <c r="E102" s="1" t="n">
        <f aca="false">IF(cleaned_data!D99="Mall",1,0)</f>
        <v>1</v>
      </c>
      <c r="F102" s="1" t="n">
        <f aca="false">IF(cleaned_data!D99="Residential",1,0)</f>
        <v>0</v>
      </c>
      <c r="G102" s="1" t="n">
        <f aca="false">IF(cleaned_data!D99="Airport",1,0)</f>
        <v>0</v>
      </c>
      <c r="H102" s="1" t="n">
        <f aca="false">IF(cleaned_data!C99="North",1,0)</f>
        <v>0</v>
      </c>
      <c r="I102" s="1" t="n">
        <f aca="false">IF(cleaned_data!C99="South",1,0)</f>
        <v>0</v>
      </c>
      <c r="J102" s="1" t="n">
        <f aca="false">IF(cleaned_data!C99="West",1,0)</f>
        <v>1</v>
      </c>
    </row>
    <row r="103" customFormat="false" ht="15" hidden="false" customHeight="true" outlineLevel="0" collapsed="false">
      <c r="A103" s="1" t="str">
        <f aca="false">cleaned_data!A100</f>
        <v>STR-1025</v>
      </c>
      <c r="B103" s="3" t="n">
        <f aca="false">cleaned_data!B100</f>
        <v>45717</v>
      </c>
      <c r="C103" s="1" t="str">
        <f aca="false">cleaned_data!D100</f>
        <v>Mall</v>
      </c>
      <c r="D103" s="1" t="str">
        <f aca="false">cleaned_data!C100</f>
        <v>West</v>
      </c>
      <c r="E103" s="1" t="n">
        <f aca="false">IF(cleaned_data!D100="Mall",1,0)</f>
        <v>1</v>
      </c>
      <c r="F103" s="1" t="n">
        <f aca="false">IF(cleaned_data!D100="Residential",1,0)</f>
        <v>0</v>
      </c>
      <c r="G103" s="1" t="n">
        <f aca="false">IF(cleaned_data!D100="Airport",1,0)</f>
        <v>0</v>
      </c>
      <c r="H103" s="1" t="n">
        <f aca="false">IF(cleaned_data!C100="North",1,0)</f>
        <v>0</v>
      </c>
      <c r="I103" s="1" t="n">
        <f aca="false">IF(cleaned_data!C100="South",1,0)</f>
        <v>0</v>
      </c>
      <c r="J103" s="1" t="n">
        <f aca="false">IF(cleaned_data!C100="West",1,0)</f>
        <v>1</v>
      </c>
    </row>
    <row r="104" customFormat="false" ht="15" hidden="false" customHeight="true" outlineLevel="0" collapsed="false">
      <c r="A104" s="1" t="str">
        <f aca="false">cleaned_data!A101</f>
        <v>STR-1025</v>
      </c>
      <c r="B104" s="3" t="n">
        <f aca="false">cleaned_data!B101</f>
        <v>45748</v>
      </c>
      <c r="C104" s="1" t="str">
        <f aca="false">cleaned_data!D101</f>
        <v>Mall</v>
      </c>
      <c r="D104" s="1" t="str">
        <f aca="false">cleaned_data!C101</f>
        <v>West</v>
      </c>
      <c r="E104" s="1" t="n">
        <f aca="false">IF(cleaned_data!D101="Mall",1,0)</f>
        <v>1</v>
      </c>
      <c r="F104" s="1" t="n">
        <f aca="false">IF(cleaned_data!D101="Residential",1,0)</f>
        <v>0</v>
      </c>
      <c r="G104" s="1" t="n">
        <f aca="false">IF(cleaned_data!D101="Airport",1,0)</f>
        <v>0</v>
      </c>
      <c r="H104" s="1" t="n">
        <f aca="false">IF(cleaned_data!C101="North",1,0)</f>
        <v>0</v>
      </c>
      <c r="I104" s="1" t="n">
        <f aca="false">IF(cleaned_data!C101="South",1,0)</f>
        <v>0</v>
      </c>
      <c r="J104" s="1" t="n">
        <f aca="false">IF(cleaned_data!C101="West",1,0)</f>
        <v>1</v>
      </c>
    </row>
    <row r="105" customFormat="false" ht="15" hidden="false" customHeight="true" outlineLevel="0" collapsed="false">
      <c r="A105" s="1" t="str">
        <f aca="false">cleaned_data!A102</f>
        <v>STR-1026</v>
      </c>
      <c r="B105" s="3" t="n">
        <f aca="false">cleaned_data!B102</f>
        <v>45658</v>
      </c>
      <c r="C105" s="1" t="str">
        <f aca="false">cleaned_data!D102</f>
        <v>Mall</v>
      </c>
      <c r="D105" s="1" t="str">
        <f aca="false">cleaned_data!C102</f>
        <v>East</v>
      </c>
      <c r="E105" s="1" t="n">
        <f aca="false">IF(cleaned_data!D102="Mall",1,0)</f>
        <v>1</v>
      </c>
      <c r="F105" s="1" t="n">
        <f aca="false">IF(cleaned_data!D102="Residential",1,0)</f>
        <v>0</v>
      </c>
      <c r="G105" s="1" t="n">
        <f aca="false">IF(cleaned_data!D102="Airport",1,0)</f>
        <v>0</v>
      </c>
      <c r="H105" s="1" t="n">
        <f aca="false">IF(cleaned_data!C102="North",1,0)</f>
        <v>0</v>
      </c>
      <c r="I105" s="1" t="n">
        <f aca="false">IF(cleaned_data!C102="South",1,0)</f>
        <v>0</v>
      </c>
      <c r="J105" s="1" t="n">
        <f aca="false">IF(cleaned_data!C102="West",1,0)</f>
        <v>0</v>
      </c>
    </row>
    <row r="106" customFormat="false" ht="15" hidden="false" customHeight="true" outlineLevel="0" collapsed="false">
      <c r="A106" s="1" t="str">
        <f aca="false">cleaned_data!A103</f>
        <v>STR-1026</v>
      </c>
      <c r="B106" s="3" t="n">
        <f aca="false">cleaned_data!B103</f>
        <v>45689</v>
      </c>
      <c r="C106" s="1" t="str">
        <f aca="false">cleaned_data!D103</f>
        <v>Mall</v>
      </c>
      <c r="D106" s="1" t="str">
        <f aca="false">cleaned_data!C103</f>
        <v>East</v>
      </c>
      <c r="E106" s="1" t="n">
        <f aca="false">IF(cleaned_data!D103="Mall",1,0)</f>
        <v>1</v>
      </c>
      <c r="F106" s="1" t="n">
        <f aca="false">IF(cleaned_data!D103="Residential",1,0)</f>
        <v>0</v>
      </c>
      <c r="G106" s="1" t="n">
        <f aca="false">IF(cleaned_data!D103="Airport",1,0)</f>
        <v>0</v>
      </c>
      <c r="H106" s="1" t="n">
        <f aca="false">IF(cleaned_data!C103="North",1,0)</f>
        <v>0</v>
      </c>
      <c r="I106" s="1" t="n">
        <f aca="false">IF(cleaned_data!C103="South",1,0)</f>
        <v>0</v>
      </c>
      <c r="J106" s="1" t="n">
        <f aca="false">IF(cleaned_data!C103="West",1,0)</f>
        <v>0</v>
      </c>
    </row>
    <row r="107" customFormat="false" ht="15" hidden="false" customHeight="true" outlineLevel="0" collapsed="false">
      <c r="A107" s="1" t="str">
        <f aca="false">cleaned_data!A104</f>
        <v>STR-1026</v>
      </c>
      <c r="B107" s="3" t="n">
        <f aca="false">cleaned_data!B104</f>
        <v>45717</v>
      </c>
      <c r="C107" s="1" t="str">
        <f aca="false">cleaned_data!D104</f>
        <v>Mall</v>
      </c>
      <c r="D107" s="1" t="str">
        <f aca="false">cleaned_data!C104</f>
        <v>East</v>
      </c>
      <c r="E107" s="1" t="n">
        <f aca="false">IF(cleaned_data!D104="Mall",1,0)</f>
        <v>1</v>
      </c>
      <c r="F107" s="1" t="n">
        <f aca="false">IF(cleaned_data!D104="Residential",1,0)</f>
        <v>0</v>
      </c>
      <c r="G107" s="1" t="n">
        <f aca="false">IF(cleaned_data!D104="Airport",1,0)</f>
        <v>0</v>
      </c>
      <c r="H107" s="1" t="n">
        <f aca="false">IF(cleaned_data!C104="North",1,0)</f>
        <v>0</v>
      </c>
      <c r="I107" s="1" t="n">
        <f aca="false">IF(cleaned_data!C104="South",1,0)</f>
        <v>0</v>
      </c>
      <c r="J107" s="1" t="n">
        <f aca="false">IF(cleaned_data!C104="West",1,0)</f>
        <v>0</v>
      </c>
    </row>
    <row r="108" customFormat="false" ht="15" hidden="false" customHeight="true" outlineLevel="0" collapsed="false">
      <c r="A108" s="1" t="str">
        <f aca="false">cleaned_data!A105</f>
        <v>STR-1026</v>
      </c>
      <c r="B108" s="3" t="n">
        <f aca="false">cleaned_data!B105</f>
        <v>45748</v>
      </c>
      <c r="C108" s="1" t="str">
        <f aca="false">cleaned_data!D105</f>
        <v>Mall</v>
      </c>
      <c r="D108" s="1" t="str">
        <f aca="false">cleaned_data!C105</f>
        <v>East</v>
      </c>
      <c r="E108" s="1" t="n">
        <f aca="false">IF(cleaned_data!D105="Mall",1,0)</f>
        <v>1</v>
      </c>
      <c r="F108" s="1" t="n">
        <f aca="false">IF(cleaned_data!D105="Residential",1,0)</f>
        <v>0</v>
      </c>
      <c r="G108" s="1" t="n">
        <f aca="false">IF(cleaned_data!D105="Airport",1,0)</f>
        <v>0</v>
      </c>
      <c r="H108" s="1" t="n">
        <f aca="false">IF(cleaned_data!C105="North",1,0)</f>
        <v>0</v>
      </c>
      <c r="I108" s="1" t="n">
        <f aca="false">IF(cleaned_data!C105="South",1,0)</f>
        <v>0</v>
      </c>
      <c r="J108" s="1" t="n">
        <f aca="false">IF(cleaned_data!C105="West",1,0)</f>
        <v>0</v>
      </c>
    </row>
    <row r="109" customFormat="false" ht="15" hidden="false" customHeight="true" outlineLevel="0" collapsed="false">
      <c r="A109" s="1" t="str">
        <f aca="false">cleaned_data!A106</f>
        <v>STR-1027</v>
      </c>
      <c r="B109" s="3" t="n">
        <f aca="false">cleaned_data!B106</f>
        <v>45658</v>
      </c>
      <c r="C109" s="1" t="str">
        <f aca="false">cleaned_data!D106</f>
        <v>High Street</v>
      </c>
      <c r="D109" s="1" t="str">
        <f aca="false">cleaned_data!C106</f>
        <v>West</v>
      </c>
      <c r="E109" s="1" t="n">
        <f aca="false">IF(cleaned_data!D106="Mall",1,0)</f>
        <v>0</v>
      </c>
      <c r="F109" s="1" t="n">
        <f aca="false">IF(cleaned_data!D106="Residential",1,0)</f>
        <v>0</v>
      </c>
      <c r="G109" s="1" t="n">
        <f aca="false">IF(cleaned_data!D106="Airport",1,0)</f>
        <v>0</v>
      </c>
      <c r="H109" s="1" t="n">
        <f aca="false">IF(cleaned_data!C106="North",1,0)</f>
        <v>0</v>
      </c>
      <c r="I109" s="1" t="n">
        <f aca="false">IF(cleaned_data!C106="South",1,0)</f>
        <v>0</v>
      </c>
      <c r="J109" s="1" t="n">
        <f aca="false">IF(cleaned_data!C106="West",1,0)</f>
        <v>1</v>
      </c>
    </row>
    <row r="110" customFormat="false" ht="15" hidden="false" customHeight="true" outlineLevel="0" collapsed="false">
      <c r="A110" s="1" t="str">
        <f aca="false">cleaned_data!A107</f>
        <v>STR-1027</v>
      </c>
      <c r="B110" s="3" t="n">
        <f aca="false">cleaned_data!B107</f>
        <v>45689</v>
      </c>
      <c r="C110" s="1" t="str">
        <f aca="false">cleaned_data!D107</f>
        <v>High Street</v>
      </c>
      <c r="D110" s="1" t="str">
        <f aca="false">cleaned_data!C107</f>
        <v>West</v>
      </c>
      <c r="E110" s="1" t="n">
        <f aca="false">IF(cleaned_data!D107="Mall",1,0)</f>
        <v>0</v>
      </c>
      <c r="F110" s="1" t="n">
        <f aca="false">IF(cleaned_data!D107="Residential",1,0)</f>
        <v>0</v>
      </c>
      <c r="G110" s="1" t="n">
        <f aca="false">IF(cleaned_data!D107="Airport",1,0)</f>
        <v>0</v>
      </c>
      <c r="H110" s="1" t="n">
        <f aca="false">IF(cleaned_data!C107="North",1,0)</f>
        <v>0</v>
      </c>
      <c r="I110" s="1" t="n">
        <f aca="false">IF(cleaned_data!C107="South",1,0)</f>
        <v>0</v>
      </c>
      <c r="J110" s="1" t="n">
        <f aca="false">IF(cleaned_data!C107="West",1,0)</f>
        <v>1</v>
      </c>
    </row>
    <row r="111" customFormat="false" ht="15" hidden="false" customHeight="true" outlineLevel="0" collapsed="false">
      <c r="A111" s="1" t="str">
        <f aca="false">cleaned_data!A108</f>
        <v>STR-1027</v>
      </c>
      <c r="B111" s="3" t="n">
        <f aca="false">cleaned_data!B108</f>
        <v>45717</v>
      </c>
      <c r="C111" s="1" t="str">
        <f aca="false">cleaned_data!D108</f>
        <v>High Street</v>
      </c>
      <c r="D111" s="1" t="str">
        <f aca="false">cleaned_data!C108</f>
        <v>West</v>
      </c>
      <c r="E111" s="1" t="n">
        <f aca="false">IF(cleaned_data!D108="Mall",1,0)</f>
        <v>0</v>
      </c>
      <c r="F111" s="1" t="n">
        <f aca="false">IF(cleaned_data!D108="Residential",1,0)</f>
        <v>0</v>
      </c>
      <c r="G111" s="1" t="n">
        <f aca="false">IF(cleaned_data!D108="Airport",1,0)</f>
        <v>0</v>
      </c>
      <c r="H111" s="1" t="n">
        <f aca="false">IF(cleaned_data!C108="North",1,0)</f>
        <v>0</v>
      </c>
      <c r="I111" s="1" t="n">
        <f aca="false">IF(cleaned_data!C108="South",1,0)</f>
        <v>0</v>
      </c>
      <c r="J111" s="1" t="n">
        <f aca="false">IF(cleaned_data!C108="West",1,0)</f>
        <v>1</v>
      </c>
    </row>
    <row r="112" customFormat="false" ht="15" hidden="false" customHeight="true" outlineLevel="0" collapsed="false">
      <c r="A112" s="1" t="str">
        <f aca="false">cleaned_data!A109</f>
        <v>STR-1027</v>
      </c>
      <c r="B112" s="3" t="n">
        <f aca="false">cleaned_data!B109</f>
        <v>45748</v>
      </c>
      <c r="C112" s="1" t="str">
        <f aca="false">cleaned_data!D109</f>
        <v>High Street</v>
      </c>
      <c r="D112" s="1" t="str">
        <f aca="false">cleaned_data!C109</f>
        <v>West</v>
      </c>
      <c r="E112" s="1" t="n">
        <f aca="false">IF(cleaned_data!D109="Mall",1,0)</f>
        <v>0</v>
      </c>
      <c r="F112" s="1" t="n">
        <f aca="false">IF(cleaned_data!D109="Residential",1,0)</f>
        <v>0</v>
      </c>
      <c r="G112" s="1" t="n">
        <f aca="false">IF(cleaned_data!D109="Airport",1,0)</f>
        <v>0</v>
      </c>
      <c r="H112" s="1" t="n">
        <f aca="false">IF(cleaned_data!C109="North",1,0)</f>
        <v>0</v>
      </c>
      <c r="I112" s="1" t="n">
        <f aca="false">IF(cleaned_data!C109="South",1,0)</f>
        <v>0</v>
      </c>
      <c r="J112" s="1" t="n">
        <f aca="false">IF(cleaned_data!C109="West",1,0)</f>
        <v>1</v>
      </c>
    </row>
    <row r="113" customFormat="false" ht="15" hidden="false" customHeight="true" outlineLevel="0" collapsed="false">
      <c r="A113" s="1" t="str">
        <f aca="false">cleaned_data!A110</f>
        <v>STR-1028</v>
      </c>
      <c r="B113" s="3" t="n">
        <f aca="false">cleaned_data!B110</f>
        <v>45658</v>
      </c>
      <c r="C113" s="1" t="str">
        <f aca="false">cleaned_data!D110</f>
        <v>Mall</v>
      </c>
      <c r="D113" s="1" t="str">
        <f aca="false">cleaned_data!C110</f>
        <v>East</v>
      </c>
      <c r="E113" s="1" t="n">
        <f aca="false">IF(cleaned_data!D110="Mall",1,0)</f>
        <v>1</v>
      </c>
      <c r="F113" s="1" t="n">
        <f aca="false">IF(cleaned_data!D110="Residential",1,0)</f>
        <v>0</v>
      </c>
      <c r="G113" s="1" t="n">
        <f aca="false">IF(cleaned_data!D110="Airport",1,0)</f>
        <v>0</v>
      </c>
      <c r="H113" s="1" t="n">
        <f aca="false">IF(cleaned_data!C110="North",1,0)</f>
        <v>0</v>
      </c>
      <c r="I113" s="1" t="n">
        <f aca="false">IF(cleaned_data!C110="South",1,0)</f>
        <v>0</v>
      </c>
      <c r="J113" s="1" t="n">
        <f aca="false">IF(cleaned_data!C110="West",1,0)</f>
        <v>0</v>
      </c>
    </row>
    <row r="114" customFormat="false" ht="15" hidden="false" customHeight="true" outlineLevel="0" collapsed="false">
      <c r="A114" s="1" t="str">
        <f aca="false">cleaned_data!A111</f>
        <v>STR-1028</v>
      </c>
      <c r="B114" s="3" t="n">
        <f aca="false">cleaned_data!B111</f>
        <v>45689</v>
      </c>
      <c r="C114" s="1" t="str">
        <f aca="false">cleaned_data!D111</f>
        <v>Mall</v>
      </c>
      <c r="D114" s="1" t="str">
        <f aca="false">cleaned_data!C111</f>
        <v>East</v>
      </c>
      <c r="E114" s="1" t="n">
        <f aca="false">IF(cleaned_data!D111="Mall",1,0)</f>
        <v>1</v>
      </c>
      <c r="F114" s="1" t="n">
        <f aca="false">IF(cleaned_data!D111="Residential",1,0)</f>
        <v>0</v>
      </c>
      <c r="G114" s="1" t="n">
        <f aca="false">IF(cleaned_data!D111="Airport",1,0)</f>
        <v>0</v>
      </c>
      <c r="H114" s="1" t="n">
        <f aca="false">IF(cleaned_data!C111="North",1,0)</f>
        <v>0</v>
      </c>
      <c r="I114" s="1" t="n">
        <f aca="false">IF(cleaned_data!C111="South",1,0)</f>
        <v>0</v>
      </c>
      <c r="J114" s="1" t="n">
        <f aca="false">IF(cleaned_data!C111="West",1,0)</f>
        <v>0</v>
      </c>
    </row>
    <row r="115" customFormat="false" ht="15" hidden="false" customHeight="true" outlineLevel="0" collapsed="false">
      <c r="A115" s="1" t="str">
        <f aca="false">cleaned_data!A112</f>
        <v>STR-1028</v>
      </c>
      <c r="B115" s="3" t="n">
        <f aca="false">cleaned_data!B112</f>
        <v>45717</v>
      </c>
      <c r="C115" s="1" t="str">
        <f aca="false">cleaned_data!D112</f>
        <v>Mall</v>
      </c>
      <c r="D115" s="1" t="str">
        <f aca="false">cleaned_data!C112</f>
        <v>East</v>
      </c>
      <c r="E115" s="1" t="n">
        <f aca="false">IF(cleaned_data!D112="Mall",1,0)</f>
        <v>1</v>
      </c>
      <c r="F115" s="1" t="n">
        <f aca="false">IF(cleaned_data!D112="Residential",1,0)</f>
        <v>0</v>
      </c>
      <c r="G115" s="1" t="n">
        <f aca="false">IF(cleaned_data!D112="Airport",1,0)</f>
        <v>0</v>
      </c>
      <c r="H115" s="1" t="n">
        <f aca="false">IF(cleaned_data!C112="North",1,0)</f>
        <v>0</v>
      </c>
      <c r="I115" s="1" t="n">
        <f aca="false">IF(cleaned_data!C112="South",1,0)</f>
        <v>0</v>
      </c>
      <c r="J115" s="1" t="n">
        <f aca="false">IF(cleaned_data!C112="West",1,0)</f>
        <v>0</v>
      </c>
    </row>
    <row r="116" customFormat="false" ht="15" hidden="false" customHeight="true" outlineLevel="0" collapsed="false">
      <c r="A116" s="1" t="str">
        <f aca="false">cleaned_data!A113</f>
        <v>STR-1028</v>
      </c>
      <c r="B116" s="3" t="n">
        <f aca="false">cleaned_data!B113</f>
        <v>45748</v>
      </c>
      <c r="C116" s="1" t="str">
        <f aca="false">cleaned_data!D113</f>
        <v>Mall</v>
      </c>
      <c r="D116" s="1" t="str">
        <f aca="false">cleaned_data!C113</f>
        <v>East</v>
      </c>
      <c r="E116" s="1" t="n">
        <f aca="false">IF(cleaned_data!D113="Mall",1,0)</f>
        <v>1</v>
      </c>
      <c r="F116" s="1" t="n">
        <f aca="false">IF(cleaned_data!D113="Residential",1,0)</f>
        <v>0</v>
      </c>
      <c r="G116" s="1" t="n">
        <f aca="false">IF(cleaned_data!D113="Airport",1,0)</f>
        <v>0</v>
      </c>
      <c r="H116" s="1" t="n">
        <f aca="false">IF(cleaned_data!C113="North",1,0)</f>
        <v>0</v>
      </c>
      <c r="I116" s="1" t="n">
        <f aca="false">IF(cleaned_data!C113="South",1,0)</f>
        <v>0</v>
      </c>
      <c r="J116" s="1" t="n">
        <f aca="false">IF(cleaned_data!C113="West",1,0)</f>
        <v>0</v>
      </c>
    </row>
    <row r="117" customFormat="false" ht="15" hidden="false" customHeight="true" outlineLevel="0" collapsed="false">
      <c r="A117" s="1" t="str">
        <f aca="false">cleaned_data!A114</f>
        <v>STR-1029</v>
      </c>
      <c r="B117" s="3" t="n">
        <f aca="false">cleaned_data!B114</f>
        <v>45658</v>
      </c>
      <c r="C117" s="1" t="str">
        <f aca="false">cleaned_data!D114</f>
        <v>Mall</v>
      </c>
      <c r="D117" s="1" t="str">
        <f aca="false">cleaned_data!C114</f>
        <v>West</v>
      </c>
      <c r="E117" s="1" t="n">
        <f aca="false">IF(cleaned_data!D114="Mall",1,0)</f>
        <v>1</v>
      </c>
      <c r="F117" s="1" t="n">
        <f aca="false">IF(cleaned_data!D114="Residential",1,0)</f>
        <v>0</v>
      </c>
      <c r="G117" s="1" t="n">
        <f aca="false">IF(cleaned_data!D114="Airport",1,0)</f>
        <v>0</v>
      </c>
      <c r="H117" s="1" t="n">
        <f aca="false">IF(cleaned_data!C114="North",1,0)</f>
        <v>0</v>
      </c>
      <c r="I117" s="1" t="n">
        <f aca="false">IF(cleaned_data!C114="South",1,0)</f>
        <v>0</v>
      </c>
      <c r="J117" s="1" t="n">
        <f aca="false">IF(cleaned_data!C114="West",1,0)</f>
        <v>1</v>
      </c>
    </row>
    <row r="118" customFormat="false" ht="15" hidden="false" customHeight="true" outlineLevel="0" collapsed="false">
      <c r="A118" s="1" t="str">
        <f aca="false">cleaned_data!A115</f>
        <v>STR-1029</v>
      </c>
      <c r="B118" s="3" t="n">
        <f aca="false">cleaned_data!B115</f>
        <v>45689</v>
      </c>
      <c r="C118" s="1" t="str">
        <f aca="false">cleaned_data!D115</f>
        <v>Mall</v>
      </c>
      <c r="D118" s="1" t="str">
        <f aca="false">cleaned_data!C115</f>
        <v>West</v>
      </c>
      <c r="E118" s="1" t="n">
        <f aca="false">IF(cleaned_data!D115="Mall",1,0)</f>
        <v>1</v>
      </c>
      <c r="F118" s="1" t="n">
        <f aca="false">IF(cleaned_data!D115="Residential",1,0)</f>
        <v>0</v>
      </c>
      <c r="G118" s="1" t="n">
        <f aca="false">IF(cleaned_data!D115="Airport",1,0)</f>
        <v>0</v>
      </c>
      <c r="H118" s="1" t="n">
        <f aca="false">IF(cleaned_data!C115="North",1,0)</f>
        <v>0</v>
      </c>
      <c r="I118" s="1" t="n">
        <f aca="false">IF(cleaned_data!C115="South",1,0)</f>
        <v>0</v>
      </c>
      <c r="J118" s="1" t="n">
        <f aca="false">IF(cleaned_data!C115="West",1,0)</f>
        <v>1</v>
      </c>
    </row>
    <row r="119" customFormat="false" ht="15" hidden="false" customHeight="true" outlineLevel="0" collapsed="false">
      <c r="A119" s="1" t="str">
        <f aca="false">cleaned_data!A116</f>
        <v>STR-1029</v>
      </c>
      <c r="B119" s="3" t="n">
        <f aca="false">cleaned_data!B116</f>
        <v>45717</v>
      </c>
      <c r="C119" s="1" t="str">
        <f aca="false">cleaned_data!D116</f>
        <v>Mall</v>
      </c>
      <c r="D119" s="1" t="str">
        <f aca="false">cleaned_data!C116</f>
        <v>West</v>
      </c>
      <c r="E119" s="1" t="n">
        <f aca="false">IF(cleaned_data!D116="Mall",1,0)</f>
        <v>1</v>
      </c>
      <c r="F119" s="1" t="n">
        <f aca="false">IF(cleaned_data!D116="Residential",1,0)</f>
        <v>0</v>
      </c>
      <c r="G119" s="1" t="n">
        <f aca="false">IF(cleaned_data!D116="Airport",1,0)</f>
        <v>0</v>
      </c>
      <c r="H119" s="1" t="n">
        <f aca="false">IF(cleaned_data!C116="North",1,0)</f>
        <v>0</v>
      </c>
      <c r="I119" s="1" t="n">
        <f aca="false">IF(cleaned_data!C116="South",1,0)</f>
        <v>0</v>
      </c>
      <c r="J119" s="1" t="n">
        <f aca="false">IF(cleaned_data!C116="West",1,0)</f>
        <v>1</v>
      </c>
    </row>
    <row r="120" customFormat="false" ht="15" hidden="false" customHeight="true" outlineLevel="0" collapsed="false">
      <c r="A120" s="1" t="str">
        <f aca="false">cleaned_data!A117</f>
        <v>STR-1029</v>
      </c>
      <c r="B120" s="3" t="n">
        <f aca="false">cleaned_data!B117</f>
        <v>45748</v>
      </c>
      <c r="C120" s="1" t="str">
        <f aca="false">cleaned_data!D117</f>
        <v>Mall</v>
      </c>
      <c r="D120" s="1" t="str">
        <f aca="false">cleaned_data!C117</f>
        <v>West</v>
      </c>
      <c r="E120" s="1" t="n">
        <f aca="false">IF(cleaned_data!D117="Mall",1,0)</f>
        <v>1</v>
      </c>
      <c r="F120" s="1" t="n">
        <f aca="false">IF(cleaned_data!D117="Residential",1,0)</f>
        <v>0</v>
      </c>
      <c r="G120" s="1" t="n">
        <f aca="false">IF(cleaned_data!D117="Airport",1,0)</f>
        <v>0</v>
      </c>
      <c r="H120" s="1" t="n">
        <f aca="false">IF(cleaned_data!C117="North",1,0)</f>
        <v>0</v>
      </c>
      <c r="I120" s="1" t="n">
        <f aca="false">IF(cleaned_data!C117="South",1,0)</f>
        <v>0</v>
      </c>
      <c r="J120" s="1" t="n">
        <f aca="false">IF(cleaned_data!C117="West",1,0)</f>
        <v>1</v>
      </c>
    </row>
    <row r="121" customFormat="false" ht="15" hidden="false" customHeight="true" outlineLevel="0" collapsed="false">
      <c r="A121" s="1" t="str">
        <f aca="false">cleaned_data!A118</f>
        <v>STR-1030</v>
      </c>
      <c r="B121" s="3" t="n">
        <f aca="false">cleaned_data!B118</f>
        <v>45658</v>
      </c>
      <c r="C121" s="1" t="str">
        <f aca="false">cleaned_data!D118</f>
        <v>Residential</v>
      </c>
      <c r="D121" s="1" t="str">
        <f aca="false">cleaned_data!C118</f>
        <v>West</v>
      </c>
      <c r="E121" s="1" t="n">
        <f aca="false">IF(cleaned_data!D118="Mall",1,0)</f>
        <v>0</v>
      </c>
      <c r="F121" s="1" t="n">
        <f aca="false">IF(cleaned_data!D118="Residential",1,0)</f>
        <v>1</v>
      </c>
      <c r="G121" s="1" t="n">
        <f aca="false">IF(cleaned_data!D118="Airport",1,0)</f>
        <v>0</v>
      </c>
      <c r="H121" s="1" t="n">
        <f aca="false">IF(cleaned_data!C118="North",1,0)</f>
        <v>0</v>
      </c>
      <c r="I121" s="1" t="n">
        <f aca="false">IF(cleaned_data!C118="South",1,0)</f>
        <v>0</v>
      </c>
      <c r="J121" s="1" t="n">
        <f aca="false">IF(cleaned_data!C118="West",1,0)</f>
        <v>1</v>
      </c>
    </row>
    <row r="122" customFormat="false" ht="15" hidden="false" customHeight="true" outlineLevel="0" collapsed="false">
      <c r="A122" s="1" t="str">
        <f aca="false">cleaned_data!A119</f>
        <v>STR-1030</v>
      </c>
      <c r="B122" s="3" t="n">
        <f aca="false">cleaned_data!B119</f>
        <v>45689</v>
      </c>
      <c r="C122" s="1" t="str">
        <f aca="false">cleaned_data!D119</f>
        <v>Residential</v>
      </c>
      <c r="D122" s="1" t="str">
        <f aca="false">cleaned_data!C119</f>
        <v>West</v>
      </c>
      <c r="E122" s="1" t="n">
        <f aca="false">IF(cleaned_data!D119="Mall",1,0)</f>
        <v>0</v>
      </c>
      <c r="F122" s="1" t="n">
        <f aca="false">IF(cleaned_data!D119="Residential",1,0)</f>
        <v>1</v>
      </c>
      <c r="G122" s="1" t="n">
        <f aca="false">IF(cleaned_data!D119="Airport",1,0)</f>
        <v>0</v>
      </c>
      <c r="H122" s="1" t="n">
        <f aca="false">IF(cleaned_data!C119="North",1,0)</f>
        <v>0</v>
      </c>
      <c r="I122" s="1" t="n">
        <f aca="false">IF(cleaned_data!C119="South",1,0)</f>
        <v>0</v>
      </c>
      <c r="J122" s="1" t="n">
        <f aca="false">IF(cleaned_data!C119="West",1,0)</f>
        <v>1</v>
      </c>
    </row>
    <row r="123" customFormat="false" ht="15" hidden="false" customHeight="true" outlineLevel="0" collapsed="false">
      <c r="A123" s="1" t="str">
        <f aca="false">cleaned_data!A120</f>
        <v>STR-1030</v>
      </c>
      <c r="B123" s="3" t="n">
        <f aca="false">cleaned_data!B120</f>
        <v>45717</v>
      </c>
      <c r="C123" s="1" t="str">
        <f aca="false">cleaned_data!D120</f>
        <v>Residential</v>
      </c>
      <c r="D123" s="1" t="str">
        <f aca="false">cleaned_data!C120</f>
        <v>West</v>
      </c>
      <c r="E123" s="1" t="n">
        <f aca="false">IF(cleaned_data!D120="Mall",1,0)</f>
        <v>0</v>
      </c>
      <c r="F123" s="1" t="n">
        <f aca="false">IF(cleaned_data!D120="Residential",1,0)</f>
        <v>1</v>
      </c>
      <c r="G123" s="1" t="n">
        <f aca="false">IF(cleaned_data!D120="Airport",1,0)</f>
        <v>0</v>
      </c>
      <c r="H123" s="1" t="n">
        <f aca="false">IF(cleaned_data!C120="North",1,0)</f>
        <v>0</v>
      </c>
      <c r="I123" s="1" t="n">
        <f aca="false">IF(cleaned_data!C120="South",1,0)</f>
        <v>0</v>
      </c>
      <c r="J123" s="1" t="n">
        <f aca="false">IF(cleaned_data!C120="West",1,0)</f>
        <v>1</v>
      </c>
    </row>
    <row r="124" customFormat="false" ht="15" hidden="false" customHeight="true" outlineLevel="0" collapsed="false">
      <c r="A124" s="1" t="str">
        <f aca="false">cleaned_data!A121</f>
        <v>STR-1030</v>
      </c>
      <c r="B124" s="3" t="n">
        <f aca="false">cleaned_data!B121</f>
        <v>45748</v>
      </c>
      <c r="C124" s="1" t="str">
        <f aca="false">cleaned_data!D121</f>
        <v>Residential</v>
      </c>
      <c r="D124" s="1" t="str">
        <f aca="false">cleaned_data!C121</f>
        <v>West</v>
      </c>
      <c r="E124" s="1" t="n">
        <f aca="false">IF(cleaned_data!D121="Mall",1,0)</f>
        <v>0</v>
      </c>
      <c r="F124" s="1" t="n">
        <f aca="false">IF(cleaned_data!D121="Residential",1,0)</f>
        <v>1</v>
      </c>
      <c r="G124" s="1" t="n">
        <f aca="false">IF(cleaned_data!D121="Airport",1,0)</f>
        <v>0</v>
      </c>
      <c r="H124" s="1" t="n">
        <f aca="false">IF(cleaned_data!C121="North",1,0)</f>
        <v>0</v>
      </c>
      <c r="I124" s="1" t="n">
        <f aca="false">IF(cleaned_data!C121="South",1,0)</f>
        <v>0</v>
      </c>
      <c r="J124" s="1" t="n">
        <f aca="false">IF(cleaned_data!C121="West",1,0)</f>
        <v>1</v>
      </c>
    </row>
    <row r="125" customFormat="false" ht="15" hidden="false" customHeight="true" outlineLevel="0" collapsed="false">
      <c r="A125" s="1" t="str">
        <f aca="false">cleaned_data!A122</f>
        <v>STR-1031</v>
      </c>
      <c r="B125" s="3" t="n">
        <f aca="false">cleaned_data!B122</f>
        <v>45658</v>
      </c>
      <c r="C125" s="1" t="str">
        <f aca="false">cleaned_data!D122</f>
        <v>High Street</v>
      </c>
      <c r="D125" s="1" t="str">
        <f aca="false">cleaned_data!C122</f>
        <v>North</v>
      </c>
      <c r="E125" s="1" t="n">
        <f aca="false">IF(cleaned_data!D122="Mall",1,0)</f>
        <v>0</v>
      </c>
      <c r="F125" s="1" t="n">
        <f aca="false">IF(cleaned_data!D122="Residential",1,0)</f>
        <v>0</v>
      </c>
      <c r="G125" s="1" t="n">
        <f aca="false">IF(cleaned_data!D122="Airport",1,0)</f>
        <v>0</v>
      </c>
      <c r="H125" s="1" t="n">
        <f aca="false">IF(cleaned_data!C122="North",1,0)</f>
        <v>1</v>
      </c>
      <c r="I125" s="1" t="n">
        <f aca="false">IF(cleaned_data!C122="South",1,0)</f>
        <v>0</v>
      </c>
      <c r="J125" s="1" t="n">
        <f aca="false">IF(cleaned_data!C122="West",1,0)</f>
        <v>0</v>
      </c>
    </row>
    <row r="126" customFormat="false" ht="15" hidden="false" customHeight="true" outlineLevel="0" collapsed="false">
      <c r="A126" s="1" t="str">
        <f aca="false">cleaned_data!A123</f>
        <v>STR-1031</v>
      </c>
      <c r="B126" s="3" t="n">
        <f aca="false">cleaned_data!B123</f>
        <v>45689</v>
      </c>
      <c r="C126" s="1" t="str">
        <f aca="false">cleaned_data!D123</f>
        <v>High Street</v>
      </c>
      <c r="D126" s="1" t="str">
        <f aca="false">cleaned_data!C123</f>
        <v>North</v>
      </c>
      <c r="E126" s="1" t="n">
        <f aca="false">IF(cleaned_data!D123="Mall",1,0)</f>
        <v>0</v>
      </c>
      <c r="F126" s="1" t="n">
        <f aca="false">IF(cleaned_data!D123="Residential",1,0)</f>
        <v>0</v>
      </c>
      <c r="G126" s="1" t="n">
        <f aca="false">IF(cleaned_data!D123="Airport",1,0)</f>
        <v>0</v>
      </c>
      <c r="H126" s="1" t="n">
        <f aca="false">IF(cleaned_data!C123="North",1,0)</f>
        <v>1</v>
      </c>
      <c r="I126" s="1" t="n">
        <f aca="false">IF(cleaned_data!C123="South",1,0)</f>
        <v>0</v>
      </c>
      <c r="J126" s="1" t="n">
        <f aca="false">IF(cleaned_data!C123="West",1,0)</f>
        <v>0</v>
      </c>
    </row>
    <row r="127" customFormat="false" ht="15" hidden="false" customHeight="true" outlineLevel="0" collapsed="false">
      <c r="A127" s="1" t="str">
        <f aca="false">cleaned_data!A124</f>
        <v>STR-1031</v>
      </c>
      <c r="B127" s="3" t="n">
        <f aca="false">cleaned_data!B124</f>
        <v>45717</v>
      </c>
      <c r="C127" s="1" t="str">
        <f aca="false">cleaned_data!D124</f>
        <v>High Street</v>
      </c>
      <c r="D127" s="1" t="str">
        <f aca="false">cleaned_data!C124</f>
        <v>North</v>
      </c>
      <c r="E127" s="1" t="n">
        <f aca="false">IF(cleaned_data!D124="Mall",1,0)</f>
        <v>0</v>
      </c>
      <c r="F127" s="1" t="n">
        <f aca="false">IF(cleaned_data!D124="Residential",1,0)</f>
        <v>0</v>
      </c>
      <c r="G127" s="1" t="n">
        <f aca="false">IF(cleaned_data!D124="Airport",1,0)</f>
        <v>0</v>
      </c>
      <c r="H127" s="1" t="n">
        <f aca="false">IF(cleaned_data!C124="North",1,0)</f>
        <v>1</v>
      </c>
      <c r="I127" s="1" t="n">
        <f aca="false">IF(cleaned_data!C124="South",1,0)</f>
        <v>0</v>
      </c>
      <c r="J127" s="1" t="n">
        <f aca="false">IF(cleaned_data!C124="West",1,0)</f>
        <v>0</v>
      </c>
    </row>
    <row r="128" customFormat="false" ht="15" hidden="false" customHeight="true" outlineLevel="0" collapsed="false">
      <c r="A128" s="1" t="str">
        <f aca="false">cleaned_data!A125</f>
        <v>STR-1031</v>
      </c>
      <c r="B128" s="3" t="n">
        <f aca="false">cleaned_data!B125</f>
        <v>45748</v>
      </c>
      <c r="C128" s="1" t="str">
        <f aca="false">cleaned_data!D125</f>
        <v>High Street</v>
      </c>
      <c r="D128" s="1" t="str">
        <f aca="false">cleaned_data!C125</f>
        <v>North</v>
      </c>
      <c r="E128" s="1" t="n">
        <f aca="false">IF(cleaned_data!D125="Mall",1,0)</f>
        <v>0</v>
      </c>
      <c r="F128" s="1" t="n">
        <f aca="false">IF(cleaned_data!D125="Residential",1,0)</f>
        <v>0</v>
      </c>
      <c r="G128" s="1" t="n">
        <f aca="false">IF(cleaned_data!D125="Airport",1,0)</f>
        <v>0</v>
      </c>
      <c r="H128" s="1" t="n">
        <f aca="false">IF(cleaned_data!C125="North",1,0)</f>
        <v>1</v>
      </c>
      <c r="I128" s="1" t="n">
        <f aca="false">IF(cleaned_data!C125="South",1,0)</f>
        <v>0</v>
      </c>
      <c r="J128" s="1" t="n">
        <f aca="false">IF(cleaned_data!C125="West",1,0)</f>
        <v>0</v>
      </c>
    </row>
    <row r="129" customFormat="false" ht="15" hidden="false" customHeight="true" outlineLevel="0" collapsed="false">
      <c r="A129" s="1" t="str">
        <f aca="false">cleaned_data!A126</f>
        <v>STR-1032</v>
      </c>
      <c r="B129" s="3" t="n">
        <f aca="false">cleaned_data!B126</f>
        <v>45658</v>
      </c>
      <c r="C129" s="1" t="str">
        <f aca="false">cleaned_data!D126</f>
        <v>High Street</v>
      </c>
      <c r="D129" s="1" t="str">
        <f aca="false">cleaned_data!C126</f>
        <v>South</v>
      </c>
      <c r="E129" s="1" t="n">
        <f aca="false">IF(cleaned_data!D126="Mall",1,0)</f>
        <v>0</v>
      </c>
      <c r="F129" s="1" t="n">
        <f aca="false">IF(cleaned_data!D126="Residential",1,0)</f>
        <v>0</v>
      </c>
      <c r="G129" s="1" t="n">
        <f aca="false">IF(cleaned_data!D126="Airport",1,0)</f>
        <v>0</v>
      </c>
      <c r="H129" s="1" t="n">
        <f aca="false">IF(cleaned_data!C126="North",1,0)</f>
        <v>0</v>
      </c>
      <c r="I129" s="1" t="n">
        <f aca="false">IF(cleaned_data!C126="South",1,0)</f>
        <v>1</v>
      </c>
      <c r="J129" s="1" t="n">
        <f aca="false">IF(cleaned_data!C126="West",1,0)</f>
        <v>0</v>
      </c>
    </row>
    <row r="130" customFormat="false" ht="15" hidden="false" customHeight="true" outlineLevel="0" collapsed="false">
      <c r="A130" s="1" t="str">
        <f aca="false">cleaned_data!A127</f>
        <v>STR-1032</v>
      </c>
      <c r="B130" s="3" t="n">
        <f aca="false">cleaned_data!B127</f>
        <v>45689</v>
      </c>
      <c r="C130" s="1" t="str">
        <f aca="false">cleaned_data!D127</f>
        <v>High Street</v>
      </c>
      <c r="D130" s="1" t="str">
        <f aca="false">cleaned_data!C127</f>
        <v>South</v>
      </c>
      <c r="E130" s="1" t="n">
        <f aca="false">IF(cleaned_data!D127="Mall",1,0)</f>
        <v>0</v>
      </c>
      <c r="F130" s="1" t="n">
        <f aca="false">IF(cleaned_data!D127="Residential",1,0)</f>
        <v>0</v>
      </c>
      <c r="G130" s="1" t="n">
        <f aca="false">IF(cleaned_data!D127="Airport",1,0)</f>
        <v>0</v>
      </c>
      <c r="H130" s="1" t="n">
        <f aca="false">IF(cleaned_data!C127="North",1,0)</f>
        <v>0</v>
      </c>
      <c r="I130" s="1" t="n">
        <f aca="false">IF(cleaned_data!C127="South",1,0)</f>
        <v>1</v>
      </c>
      <c r="J130" s="1" t="n">
        <f aca="false">IF(cleaned_data!C127="West",1,0)</f>
        <v>0</v>
      </c>
    </row>
    <row r="131" customFormat="false" ht="15" hidden="false" customHeight="true" outlineLevel="0" collapsed="false">
      <c r="A131" s="1" t="str">
        <f aca="false">cleaned_data!A128</f>
        <v>STR-1032</v>
      </c>
      <c r="B131" s="3" t="n">
        <f aca="false">cleaned_data!B128</f>
        <v>45717</v>
      </c>
      <c r="C131" s="1" t="str">
        <f aca="false">cleaned_data!D128</f>
        <v>High Street</v>
      </c>
      <c r="D131" s="1" t="str">
        <f aca="false">cleaned_data!C128</f>
        <v>South</v>
      </c>
      <c r="E131" s="1" t="n">
        <f aca="false">IF(cleaned_data!D128="Mall",1,0)</f>
        <v>0</v>
      </c>
      <c r="F131" s="1" t="n">
        <f aca="false">IF(cleaned_data!D128="Residential",1,0)</f>
        <v>0</v>
      </c>
      <c r="G131" s="1" t="n">
        <f aca="false">IF(cleaned_data!D128="Airport",1,0)</f>
        <v>0</v>
      </c>
      <c r="H131" s="1" t="n">
        <f aca="false">IF(cleaned_data!C128="North",1,0)</f>
        <v>0</v>
      </c>
      <c r="I131" s="1" t="n">
        <f aca="false">IF(cleaned_data!C128="South",1,0)</f>
        <v>1</v>
      </c>
      <c r="J131" s="1" t="n">
        <f aca="false">IF(cleaned_data!C128="West",1,0)</f>
        <v>0</v>
      </c>
    </row>
    <row r="132" customFormat="false" ht="15" hidden="false" customHeight="true" outlineLevel="0" collapsed="false">
      <c r="A132" s="1" t="str">
        <f aca="false">cleaned_data!A129</f>
        <v>STR-1032</v>
      </c>
      <c r="B132" s="3" t="n">
        <f aca="false">cleaned_data!B129</f>
        <v>45748</v>
      </c>
      <c r="C132" s="1" t="str">
        <f aca="false">cleaned_data!D129</f>
        <v>High Street</v>
      </c>
      <c r="D132" s="1" t="str">
        <f aca="false">cleaned_data!C129</f>
        <v>South</v>
      </c>
      <c r="E132" s="1" t="n">
        <f aca="false">IF(cleaned_data!D129="Mall",1,0)</f>
        <v>0</v>
      </c>
      <c r="F132" s="1" t="n">
        <f aca="false">IF(cleaned_data!D129="Residential",1,0)</f>
        <v>0</v>
      </c>
      <c r="G132" s="1" t="n">
        <f aca="false">IF(cleaned_data!D129="Airport",1,0)</f>
        <v>0</v>
      </c>
      <c r="H132" s="1" t="n">
        <f aca="false">IF(cleaned_data!C129="North",1,0)</f>
        <v>0</v>
      </c>
      <c r="I132" s="1" t="n">
        <f aca="false">IF(cleaned_data!C129="South",1,0)</f>
        <v>1</v>
      </c>
      <c r="J132" s="1" t="n">
        <f aca="false">IF(cleaned_data!C129="West",1,0)</f>
        <v>0</v>
      </c>
    </row>
    <row r="133" customFormat="false" ht="15" hidden="false" customHeight="true" outlineLevel="0" collapsed="false">
      <c r="A133" s="1" t="str">
        <f aca="false">cleaned_data!A130</f>
        <v>STR-1033</v>
      </c>
      <c r="B133" s="3" t="n">
        <f aca="false">cleaned_data!B130</f>
        <v>45658</v>
      </c>
      <c r="C133" s="1" t="str">
        <f aca="false">cleaned_data!D130</f>
        <v>High Street</v>
      </c>
      <c r="D133" s="1" t="str">
        <f aca="false">cleaned_data!C130</f>
        <v>East</v>
      </c>
      <c r="E133" s="1" t="n">
        <f aca="false">IF(cleaned_data!D130="Mall",1,0)</f>
        <v>0</v>
      </c>
      <c r="F133" s="1" t="n">
        <f aca="false">IF(cleaned_data!D130="Residential",1,0)</f>
        <v>0</v>
      </c>
      <c r="G133" s="1" t="n">
        <f aca="false">IF(cleaned_data!D130="Airport",1,0)</f>
        <v>0</v>
      </c>
      <c r="H133" s="1" t="n">
        <f aca="false">IF(cleaned_data!C130="North",1,0)</f>
        <v>0</v>
      </c>
      <c r="I133" s="1" t="n">
        <f aca="false">IF(cleaned_data!C130="South",1,0)</f>
        <v>0</v>
      </c>
      <c r="J133" s="1" t="n">
        <f aca="false">IF(cleaned_data!C130="West",1,0)</f>
        <v>0</v>
      </c>
    </row>
    <row r="134" customFormat="false" ht="15" hidden="false" customHeight="true" outlineLevel="0" collapsed="false">
      <c r="A134" s="1" t="str">
        <f aca="false">cleaned_data!A131</f>
        <v>STR-1033</v>
      </c>
      <c r="B134" s="3" t="n">
        <f aca="false">cleaned_data!B131</f>
        <v>45689</v>
      </c>
      <c r="C134" s="1" t="str">
        <f aca="false">cleaned_data!D131</f>
        <v>High Street</v>
      </c>
      <c r="D134" s="1" t="str">
        <f aca="false">cleaned_data!C131</f>
        <v>East</v>
      </c>
      <c r="E134" s="1" t="n">
        <f aca="false">IF(cleaned_data!D131="Mall",1,0)</f>
        <v>0</v>
      </c>
      <c r="F134" s="1" t="n">
        <f aca="false">IF(cleaned_data!D131="Residential",1,0)</f>
        <v>0</v>
      </c>
      <c r="G134" s="1" t="n">
        <f aca="false">IF(cleaned_data!D131="Airport",1,0)</f>
        <v>0</v>
      </c>
      <c r="H134" s="1" t="n">
        <f aca="false">IF(cleaned_data!C131="North",1,0)</f>
        <v>0</v>
      </c>
      <c r="I134" s="1" t="n">
        <f aca="false">IF(cleaned_data!C131="South",1,0)</f>
        <v>0</v>
      </c>
      <c r="J134" s="1" t="n">
        <f aca="false">IF(cleaned_data!C131="West",1,0)</f>
        <v>0</v>
      </c>
    </row>
    <row r="135" customFormat="false" ht="15" hidden="false" customHeight="true" outlineLevel="0" collapsed="false">
      <c r="A135" s="1" t="str">
        <f aca="false">cleaned_data!A132</f>
        <v>STR-1033</v>
      </c>
      <c r="B135" s="3" t="n">
        <f aca="false">cleaned_data!B132</f>
        <v>45717</v>
      </c>
      <c r="C135" s="1" t="str">
        <f aca="false">cleaned_data!D132</f>
        <v>High Street</v>
      </c>
      <c r="D135" s="1" t="str">
        <f aca="false">cleaned_data!C132</f>
        <v>East</v>
      </c>
      <c r="E135" s="1" t="n">
        <f aca="false">IF(cleaned_data!D132="Mall",1,0)</f>
        <v>0</v>
      </c>
      <c r="F135" s="1" t="n">
        <f aca="false">IF(cleaned_data!D132="Residential",1,0)</f>
        <v>0</v>
      </c>
      <c r="G135" s="1" t="n">
        <f aca="false">IF(cleaned_data!D132="Airport",1,0)</f>
        <v>0</v>
      </c>
      <c r="H135" s="1" t="n">
        <f aca="false">IF(cleaned_data!C132="North",1,0)</f>
        <v>0</v>
      </c>
      <c r="I135" s="1" t="n">
        <f aca="false">IF(cleaned_data!C132="South",1,0)</f>
        <v>0</v>
      </c>
      <c r="J135" s="1" t="n">
        <f aca="false">IF(cleaned_data!C132="West",1,0)</f>
        <v>0</v>
      </c>
    </row>
    <row r="136" customFormat="false" ht="15" hidden="false" customHeight="true" outlineLevel="0" collapsed="false">
      <c r="A136" s="1" t="str">
        <f aca="false">cleaned_data!A133</f>
        <v>STR-1033</v>
      </c>
      <c r="B136" s="3" t="n">
        <f aca="false">cleaned_data!B133</f>
        <v>45748</v>
      </c>
      <c r="C136" s="1" t="str">
        <f aca="false">cleaned_data!D133</f>
        <v>High Street</v>
      </c>
      <c r="D136" s="1" t="str">
        <f aca="false">cleaned_data!C133</f>
        <v>East</v>
      </c>
      <c r="E136" s="1" t="n">
        <f aca="false">IF(cleaned_data!D133="Mall",1,0)</f>
        <v>0</v>
      </c>
      <c r="F136" s="1" t="n">
        <f aca="false">IF(cleaned_data!D133="Residential",1,0)</f>
        <v>0</v>
      </c>
      <c r="G136" s="1" t="n">
        <f aca="false">IF(cleaned_data!D133="Airport",1,0)</f>
        <v>0</v>
      </c>
      <c r="H136" s="1" t="n">
        <f aca="false">IF(cleaned_data!C133="North",1,0)</f>
        <v>0</v>
      </c>
      <c r="I136" s="1" t="n">
        <f aca="false">IF(cleaned_data!C133="South",1,0)</f>
        <v>0</v>
      </c>
      <c r="J136" s="1" t="n">
        <f aca="false">IF(cleaned_data!C133="West",1,0)</f>
        <v>0</v>
      </c>
    </row>
    <row r="137" customFormat="false" ht="15" hidden="false" customHeight="true" outlineLevel="0" collapsed="false">
      <c r="A137" s="1" t="str">
        <f aca="false">cleaned_data!A134</f>
        <v>STR-1034</v>
      </c>
      <c r="B137" s="3" t="n">
        <f aca="false">cleaned_data!B134</f>
        <v>45658</v>
      </c>
      <c r="C137" s="1" t="str">
        <f aca="false">cleaned_data!D134</f>
        <v>High Street</v>
      </c>
      <c r="D137" s="1" t="str">
        <f aca="false">cleaned_data!C134</f>
        <v>North</v>
      </c>
      <c r="E137" s="1" t="n">
        <f aca="false">IF(cleaned_data!D134="Mall",1,0)</f>
        <v>0</v>
      </c>
      <c r="F137" s="1" t="n">
        <f aca="false">IF(cleaned_data!D134="Residential",1,0)</f>
        <v>0</v>
      </c>
      <c r="G137" s="1" t="n">
        <f aca="false">IF(cleaned_data!D134="Airport",1,0)</f>
        <v>0</v>
      </c>
      <c r="H137" s="1" t="n">
        <f aca="false">IF(cleaned_data!C134="North",1,0)</f>
        <v>1</v>
      </c>
      <c r="I137" s="1" t="n">
        <f aca="false">IF(cleaned_data!C134="South",1,0)</f>
        <v>0</v>
      </c>
      <c r="J137" s="1" t="n">
        <f aca="false">IF(cleaned_data!C134="West",1,0)</f>
        <v>0</v>
      </c>
    </row>
    <row r="138" customFormat="false" ht="15" hidden="false" customHeight="true" outlineLevel="0" collapsed="false">
      <c r="A138" s="1" t="str">
        <f aca="false">cleaned_data!A135</f>
        <v>STR-1034</v>
      </c>
      <c r="B138" s="3" t="n">
        <f aca="false">cleaned_data!B135</f>
        <v>45689</v>
      </c>
      <c r="C138" s="1" t="str">
        <f aca="false">cleaned_data!D135</f>
        <v>High Street</v>
      </c>
      <c r="D138" s="1" t="str">
        <f aca="false">cleaned_data!C135</f>
        <v>North</v>
      </c>
      <c r="E138" s="1" t="n">
        <f aca="false">IF(cleaned_data!D135="Mall",1,0)</f>
        <v>0</v>
      </c>
      <c r="F138" s="1" t="n">
        <f aca="false">IF(cleaned_data!D135="Residential",1,0)</f>
        <v>0</v>
      </c>
      <c r="G138" s="1" t="n">
        <f aca="false">IF(cleaned_data!D135="Airport",1,0)</f>
        <v>0</v>
      </c>
      <c r="H138" s="1" t="n">
        <f aca="false">IF(cleaned_data!C135="North",1,0)</f>
        <v>1</v>
      </c>
      <c r="I138" s="1" t="n">
        <f aca="false">IF(cleaned_data!C135="South",1,0)</f>
        <v>0</v>
      </c>
      <c r="J138" s="1" t="n">
        <f aca="false">IF(cleaned_data!C135="West",1,0)</f>
        <v>0</v>
      </c>
    </row>
    <row r="139" customFormat="false" ht="15" hidden="false" customHeight="true" outlineLevel="0" collapsed="false">
      <c r="A139" s="1" t="str">
        <f aca="false">cleaned_data!A136</f>
        <v>STR-1034</v>
      </c>
      <c r="B139" s="3" t="n">
        <f aca="false">cleaned_data!B136</f>
        <v>45717</v>
      </c>
      <c r="C139" s="1" t="str">
        <f aca="false">cleaned_data!D136</f>
        <v>High Street</v>
      </c>
      <c r="D139" s="1" t="str">
        <f aca="false">cleaned_data!C136</f>
        <v>North</v>
      </c>
      <c r="E139" s="1" t="n">
        <f aca="false">IF(cleaned_data!D136="Mall",1,0)</f>
        <v>0</v>
      </c>
      <c r="F139" s="1" t="n">
        <f aca="false">IF(cleaned_data!D136="Residential",1,0)</f>
        <v>0</v>
      </c>
      <c r="G139" s="1" t="n">
        <f aca="false">IF(cleaned_data!D136="Airport",1,0)</f>
        <v>0</v>
      </c>
      <c r="H139" s="1" t="n">
        <f aca="false">IF(cleaned_data!C136="North",1,0)</f>
        <v>1</v>
      </c>
      <c r="I139" s="1" t="n">
        <f aca="false">IF(cleaned_data!C136="South",1,0)</f>
        <v>0</v>
      </c>
      <c r="J139" s="1" t="n">
        <f aca="false">IF(cleaned_data!C136="West",1,0)</f>
        <v>0</v>
      </c>
    </row>
    <row r="140" customFormat="false" ht="15" hidden="false" customHeight="true" outlineLevel="0" collapsed="false">
      <c r="A140" s="1" t="str">
        <f aca="false">cleaned_data!A137</f>
        <v>STR-1034</v>
      </c>
      <c r="B140" s="3" t="n">
        <f aca="false">cleaned_data!B137</f>
        <v>45748</v>
      </c>
      <c r="C140" s="1" t="str">
        <f aca="false">cleaned_data!D137</f>
        <v>High Street</v>
      </c>
      <c r="D140" s="1" t="str">
        <f aca="false">cleaned_data!C137</f>
        <v>North</v>
      </c>
      <c r="E140" s="1" t="n">
        <f aca="false">IF(cleaned_data!D137="Mall",1,0)</f>
        <v>0</v>
      </c>
      <c r="F140" s="1" t="n">
        <f aca="false">IF(cleaned_data!D137="Residential",1,0)</f>
        <v>0</v>
      </c>
      <c r="G140" s="1" t="n">
        <f aca="false">IF(cleaned_data!D137="Airport",1,0)</f>
        <v>0</v>
      </c>
      <c r="H140" s="1" t="n">
        <f aca="false">IF(cleaned_data!C137="North",1,0)</f>
        <v>1</v>
      </c>
      <c r="I140" s="1" t="n">
        <f aca="false">IF(cleaned_data!C137="South",1,0)</f>
        <v>0</v>
      </c>
      <c r="J140" s="1" t="n">
        <f aca="false">IF(cleaned_data!C137="West",1,0)</f>
        <v>0</v>
      </c>
    </row>
    <row r="141" customFormat="false" ht="15" hidden="false" customHeight="true" outlineLevel="0" collapsed="false">
      <c r="A141" s="1" t="str">
        <f aca="false">cleaned_data!A138</f>
        <v>STR-1035</v>
      </c>
      <c r="B141" s="3" t="n">
        <f aca="false">cleaned_data!B138</f>
        <v>45658</v>
      </c>
      <c r="C141" s="1" t="str">
        <f aca="false">cleaned_data!D138</f>
        <v>Residential</v>
      </c>
      <c r="D141" s="1" t="str">
        <f aca="false">cleaned_data!C138</f>
        <v>South</v>
      </c>
      <c r="E141" s="1" t="n">
        <f aca="false">IF(cleaned_data!D138="Mall",1,0)</f>
        <v>0</v>
      </c>
      <c r="F141" s="1" t="n">
        <f aca="false">IF(cleaned_data!D138="Residential",1,0)</f>
        <v>1</v>
      </c>
      <c r="G141" s="1" t="n">
        <f aca="false">IF(cleaned_data!D138="Airport",1,0)</f>
        <v>0</v>
      </c>
      <c r="H141" s="1" t="n">
        <f aca="false">IF(cleaned_data!C138="North",1,0)</f>
        <v>0</v>
      </c>
      <c r="I141" s="1" t="n">
        <f aca="false">IF(cleaned_data!C138="South",1,0)</f>
        <v>1</v>
      </c>
      <c r="J141" s="1" t="n">
        <f aca="false">IF(cleaned_data!C138="West",1,0)</f>
        <v>0</v>
      </c>
    </row>
    <row r="142" customFormat="false" ht="15" hidden="false" customHeight="true" outlineLevel="0" collapsed="false">
      <c r="A142" s="1" t="str">
        <f aca="false">cleaned_data!A139</f>
        <v>STR-1035</v>
      </c>
      <c r="B142" s="3" t="n">
        <f aca="false">cleaned_data!B139</f>
        <v>45689</v>
      </c>
      <c r="C142" s="1" t="str">
        <f aca="false">cleaned_data!D139</f>
        <v>Residential</v>
      </c>
      <c r="D142" s="1" t="str">
        <f aca="false">cleaned_data!C139</f>
        <v>South</v>
      </c>
      <c r="E142" s="1" t="n">
        <f aca="false">IF(cleaned_data!D139="Mall",1,0)</f>
        <v>0</v>
      </c>
      <c r="F142" s="1" t="n">
        <f aca="false">IF(cleaned_data!D139="Residential",1,0)</f>
        <v>1</v>
      </c>
      <c r="G142" s="1" t="n">
        <f aca="false">IF(cleaned_data!D139="Airport",1,0)</f>
        <v>0</v>
      </c>
      <c r="H142" s="1" t="n">
        <f aca="false">IF(cleaned_data!C139="North",1,0)</f>
        <v>0</v>
      </c>
      <c r="I142" s="1" t="n">
        <f aca="false">IF(cleaned_data!C139="South",1,0)</f>
        <v>1</v>
      </c>
      <c r="J142" s="1" t="n">
        <f aca="false">IF(cleaned_data!C139="West",1,0)</f>
        <v>0</v>
      </c>
    </row>
    <row r="143" customFormat="false" ht="15" hidden="false" customHeight="true" outlineLevel="0" collapsed="false">
      <c r="A143" s="1" t="str">
        <f aca="false">cleaned_data!A140</f>
        <v>STR-1035</v>
      </c>
      <c r="B143" s="3" t="n">
        <f aca="false">cleaned_data!B140</f>
        <v>45717</v>
      </c>
      <c r="C143" s="1" t="str">
        <f aca="false">cleaned_data!D140</f>
        <v>Residential</v>
      </c>
      <c r="D143" s="1" t="str">
        <f aca="false">cleaned_data!C140</f>
        <v>South</v>
      </c>
      <c r="E143" s="1" t="n">
        <f aca="false">IF(cleaned_data!D140="Mall",1,0)</f>
        <v>0</v>
      </c>
      <c r="F143" s="1" t="n">
        <f aca="false">IF(cleaned_data!D140="Residential",1,0)</f>
        <v>1</v>
      </c>
      <c r="G143" s="1" t="n">
        <f aca="false">IF(cleaned_data!D140="Airport",1,0)</f>
        <v>0</v>
      </c>
      <c r="H143" s="1" t="n">
        <f aca="false">IF(cleaned_data!C140="North",1,0)</f>
        <v>0</v>
      </c>
      <c r="I143" s="1" t="n">
        <f aca="false">IF(cleaned_data!C140="South",1,0)</f>
        <v>1</v>
      </c>
      <c r="J143" s="1" t="n">
        <f aca="false">IF(cleaned_data!C140="West",1,0)</f>
        <v>0</v>
      </c>
    </row>
    <row r="144" customFormat="false" ht="15" hidden="false" customHeight="true" outlineLevel="0" collapsed="false">
      <c r="A144" s="1" t="str">
        <f aca="false">cleaned_data!A141</f>
        <v>STR-1035</v>
      </c>
      <c r="B144" s="3" t="n">
        <f aca="false">cleaned_data!B141</f>
        <v>45748</v>
      </c>
      <c r="C144" s="1" t="str">
        <f aca="false">cleaned_data!D141</f>
        <v>Residential</v>
      </c>
      <c r="D144" s="1" t="str">
        <f aca="false">cleaned_data!C141</f>
        <v>South</v>
      </c>
      <c r="E144" s="1" t="n">
        <f aca="false">IF(cleaned_data!D141="Mall",1,0)</f>
        <v>0</v>
      </c>
      <c r="F144" s="1" t="n">
        <f aca="false">IF(cleaned_data!D141="Residential",1,0)</f>
        <v>1</v>
      </c>
      <c r="G144" s="1" t="n">
        <f aca="false">IF(cleaned_data!D141="Airport",1,0)</f>
        <v>0</v>
      </c>
      <c r="H144" s="1" t="n">
        <f aca="false">IF(cleaned_data!C141="North",1,0)</f>
        <v>0</v>
      </c>
      <c r="I144" s="1" t="n">
        <f aca="false">IF(cleaned_data!C141="South",1,0)</f>
        <v>1</v>
      </c>
      <c r="J144" s="1" t="n">
        <f aca="false">IF(cleaned_data!C141="West",1,0)</f>
        <v>0</v>
      </c>
    </row>
    <row r="145" customFormat="false" ht="15" hidden="false" customHeight="true" outlineLevel="0" collapsed="false">
      <c r="A145" s="1" t="str">
        <f aca="false">cleaned_data!A142</f>
        <v>STR-1036</v>
      </c>
      <c r="B145" s="3" t="n">
        <f aca="false">cleaned_data!B142</f>
        <v>45658</v>
      </c>
      <c r="C145" s="1" t="str">
        <f aca="false">cleaned_data!D142</f>
        <v>High Street</v>
      </c>
      <c r="D145" s="1" t="str">
        <f aca="false">cleaned_data!C142</f>
        <v>West</v>
      </c>
      <c r="E145" s="1" t="n">
        <f aca="false">IF(cleaned_data!D142="Mall",1,0)</f>
        <v>0</v>
      </c>
      <c r="F145" s="1" t="n">
        <f aca="false">IF(cleaned_data!D142="Residential",1,0)</f>
        <v>0</v>
      </c>
      <c r="G145" s="1" t="n">
        <f aca="false">IF(cleaned_data!D142="Airport",1,0)</f>
        <v>0</v>
      </c>
      <c r="H145" s="1" t="n">
        <f aca="false">IF(cleaned_data!C142="North",1,0)</f>
        <v>0</v>
      </c>
      <c r="I145" s="1" t="n">
        <f aca="false">IF(cleaned_data!C142="South",1,0)</f>
        <v>0</v>
      </c>
      <c r="J145" s="1" t="n">
        <f aca="false">IF(cleaned_data!C142="West",1,0)</f>
        <v>1</v>
      </c>
    </row>
    <row r="146" customFormat="false" ht="15" hidden="false" customHeight="true" outlineLevel="0" collapsed="false">
      <c r="A146" s="1" t="str">
        <f aca="false">cleaned_data!A143</f>
        <v>STR-1036</v>
      </c>
      <c r="B146" s="3" t="n">
        <f aca="false">cleaned_data!B143</f>
        <v>45689</v>
      </c>
      <c r="C146" s="1" t="str">
        <f aca="false">cleaned_data!D143</f>
        <v>High Street</v>
      </c>
      <c r="D146" s="1" t="str">
        <f aca="false">cleaned_data!C143</f>
        <v>West</v>
      </c>
      <c r="E146" s="1" t="n">
        <f aca="false">IF(cleaned_data!D143="Mall",1,0)</f>
        <v>0</v>
      </c>
      <c r="F146" s="1" t="n">
        <f aca="false">IF(cleaned_data!D143="Residential",1,0)</f>
        <v>0</v>
      </c>
      <c r="G146" s="1" t="n">
        <f aca="false">IF(cleaned_data!D143="Airport",1,0)</f>
        <v>0</v>
      </c>
      <c r="H146" s="1" t="n">
        <f aca="false">IF(cleaned_data!C143="North",1,0)</f>
        <v>0</v>
      </c>
      <c r="I146" s="1" t="n">
        <f aca="false">IF(cleaned_data!C143="South",1,0)</f>
        <v>0</v>
      </c>
      <c r="J146" s="1" t="n">
        <f aca="false">IF(cleaned_data!C143="West",1,0)</f>
        <v>1</v>
      </c>
    </row>
    <row r="147" customFormat="false" ht="15" hidden="false" customHeight="true" outlineLevel="0" collapsed="false">
      <c r="A147" s="1" t="str">
        <f aca="false">cleaned_data!A144</f>
        <v>STR-1036</v>
      </c>
      <c r="B147" s="3" t="n">
        <f aca="false">cleaned_data!B144</f>
        <v>45717</v>
      </c>
      <c r="C147" s="1" t="str">
        <f aca="false">cleaned_data!D144</f>
        <v>High Street</v>
      </c>
      <c r="D147" s="1" t="str">
        <f aca="false">cleaned_data!C144</f>
        <v>West</v>
      </c>
      <c r="E147" s="1" t="n">
        <f aca="false">IF(cleaned_data!D144="Mall",1,0)</f>
        <v>0</v>
      </c>
      <c r="F147" s="1" t="n">
        <f aca="false">IF(cleaned_data!D144="Residential",1,0)</f>
        <v>0</v>
      </c>
      <c r="G147" s="1" t="n">
        <f aca="false">IF(cleaned_data!D144="Airport",1,0)</f>
        <v>0</v>
      </c>
      <c r="H147" s="1" t="n">
        <f aca="false">IF(cleaned_data!C144="North",1,0)</f>
        <v>0</v>
      </c>
      <c r="I147" s="1" t="n">
        <f aca="false">IF(cleaned_data!C144="South",1,0)</f>
        <v>0</v>
      </c>
      <c r="J147" s="1" t="n">
        <f aca="false">IF(cleaned_data!C144="West",1,0)</f>
        <v>1</v>
      </c>
    </row>
    <row r="148" customFormat="false" ht="15" hidden="false" customHeight="true" outlineLevel="0" collapsed="false">
      <c r="A148" s="1" t="str">
        <f aca="false">cleaned_data!A145</f>
        <v>STR-1036</v>
      </c>
      <c r="B148" s="3" t="n">
        <f aca="false">cleaned_data!B145</f>
        <v>45748</v>
      </c>
      <c r="C148" s="1" t="str">
        <f aca="false">cleaned_data!D145</f>
        <v>High Street</v>
      </c>
      <c r="D148" s="1" t="str">
        <f aca="false">cleaned_data!C145</f>
        <v>West</v>
      </c>
      <c r="E148" s="1" t="n">
        <f aca="false">IF(cleaned_data!D145="Mall",1,0)</f>
        <v>0</v>
      </c>
      <c r="F148" s="1" t="n">
        <f aca="false">IF(cleaned_data!D145="Residential",1,0)</f>
        <v>0</v>
      </c>
      <c r="G148" s="1" t="n">
        <f aca="false">IF(cleaned_data!D145="Airport",1,0)</f>
        <v>0</v>
      </c>
      <c r="H148" s="1" t="n">
        <f aca="false">IF(cleaned_data!C145="North",1,0)</f>
        <v>0</v>
      </c>
      <c r="I148" s="1" t="n">
        <f aca="false">IF(cleaned_data!C145="South",1,0)</f>
        <v>0</v>
      </c>
      <c r="J148" s="1" t="n">
        <f aca="false">IF(cleaned_data!C145="West",1,0)</f>
        <v>1</v>
      </c>
    </row>
    <row r="149" customFormat="false" ht="15" hidden="false" customHeight="true" outlineLevel="0" collapsed="false">
      <c r="A149" s="1" t="str">
        <f aca="false">cleaned_data!A146</f>
        <v>STR-1037</v>
      </c>
      <c r="B149" s="3" t="n">
        <f aca="false">cleaned_data!B146</f>
        <v>45658</v>
      </c>
      <c r="C149" s="1" t="str">
        <f aca="false">cleaned_data!D146</f>
        <v>Residential</v>
      </c>
      <c r="D149" s="1" t="str">
        <f aca="false">cleaned_data!C146</f>
        <v>North</v>
      </c>
      <c r="E149" s="1" t="n">
        <f aca="false">IF(cleaned_data!D146="Mall",1,0)</f>
        <v>0</v>
      </c>
      <c r="F149" s="1" t="n">
        <f aca="false">IF(cleaned_data!D146="Residential",1,0)</f>
        <v>1</v>
      </c>
      <c r="G149" s="1" t="n">
        <f aca="false">IF(cleaned_data!D146="Airport",1,0)</f>
        <v>0</v>
      </c>
      <c r="H149" s="1" t="n">
        <f aca="false">IF(cleaned_data!C146="North",1,0)</f>
        <v>1</v>
      </c>
      <c r="I149" s="1" t="n">
        <f aca="false">IF(cleaned_data!C146="South",1,0)</f>
        <v>0</v>
      </c>
      <c r="J149" s="1" t="n">
        <f aca="false">IF(cleaned_data!C146="West",1,0)</f>
        <v>0</v>
      </c>
    </row>
    <row r="150" customFormat="false" ht="15" hidden="false" customHeight="true" outlineLevel="0" collapsed="false">
      <c r="A150" s="1" t="str">
        <f aca="false">cleaned_data!A147</f>
        <v>STR-1037</v>
      </c>
      <c r="B150" s="3" t="n">
        <f aca="false">cleaned_data!B147</f>
        <v>45689</v>
      </c>
      <c r="C150" s="1" t="str">
        <f aca="false">cleaned_data!D147</f>
        <v>Residential</v>
      </c>
      <c r="D150" s="1" t="str">
        <f aca="false">cleaned_data!C147</f>
        <v>North</v>
      </c>
      <c r="E150" s="1" t="n">
        <f aca="false">IF(cleaned_data!D147="Mall",1,0)</f>
        <v>0</v>
      </c>
      <c r="F150" s="1" t="n">
        <f aca="false">IF(cleaned_data!D147="Residential",1,0)</f>
        <v>1</v>
      </c>
      <c r="G150" s="1" t="n">
        <f aca="false">IF(cleaned_data!D147="Airport",1,0)</f>
        <v>0</v>
      </c>
      <c r="H150" s="1" t="n">
        <f aca="false">IF(cleaned_data!C147="North",1,0)</f>
        <v>1</v>
      </c>
      <c r="I150" s="1" t="n">
        <f aca="false">IF(cleaned_data!C147="South",1,0)</f>
        <v>0</v>
      </c>
      <c r="J150" s="1" t="n">
        <f aca="false">IF(cleaned_data!C147="West",1,0)</f>
        <v>0</v>
      </c>
    </row>
    <row r="151" customFormat="false" ht="15" hidden="false" customHeight="true" outlineLevel="0" collapsed="false">
      <c r="A151" s="1" t="str">
        <f aca="false">cleaned_data!A148</f>
        <v>STR-1037</v>
      </c>
      <c r="B151" s="3" t="n">
        <f aca="false">cleaned_data!B148</f>
        <v>45717</v>
      </c>
      <c r="C151" s="1" t="str">
        <f aca="false">cleaned_data!D148</f>
        <v>Residential</v>
      </c>
      <c r="D151" s="1" t="str">
        <f aca="false">cleaned_data!C148</f>
        <v>North</v>
      </c>
      <c r="E151" s="1" t="n">
        <f aca="false">IF(cleaned_data!D148="Mall",1,0)</f>
        <v>0</v>
      </c>
      <c r="F151" s="1" t="n">
        <f aca="false">IF(cleaned_data!D148="Residential",1,0)</f>
        <v>1</v>
      </c>
      <c r="G151" s="1" t="n">
        <f aca="false">IF(cleaned_data!D148="Airport",1,0)</f>
        <v>0</v>
      </c>
      <c r="H151" s="1" t="n">
        <f aca="false">IF(cleaned_data!C148="North",1,0)</f>
        <v>1</v>
      </c>
      <c r="I151" s="1" t="n">
        <f aca="false">IF(cleaned_data!C148="South",1,0)</f>
        <v>0</v>
      </c>
      <c r="J151" s="1" t="n">
        <f aca="false">IF(cleaned_data!C148="West",1,0)</f>
        <v>0</v>
      </c>
    </row>
    <row r="152" customFormat="false" ht="15" hidden="false" customHeight="true" outlineLevel="0" collapsed="false">
      <c r="A152" s="1" t="str">
        <f aca="false">cleaned_data!A149</f>
        <v>STR-1037</v>
      </c>
      <c r="B152" s="3" t="n">
        <f aca="false">cleaned_data!B149</f>
        <v>45748</v>
      </c>
      <c r="C152" s="1" t="str">
        <f aca="false">cleaned_data!D149</f>
        <v>Residential</v>
      </c>
      <c r="D152" s="1" t="str">
        <f aca="false">cleaned_data!C149</f>
        <v>North</v>
      </c>
      <c r="E152" s="1" t="n">
        <f aca="false">IF(cleaned_data!D149="Mall",1,0)</f>
        <v>0</v>
      </c>
      <c r="F152" s="1" t="n">
        <f aca="false">IF(cleaned_data!D149="Residential",1,0)</f>
        <v>1</v>
      </c>
      <c r="G152" s="1" t="n">
        <f aca="false">IF(cleaned_data!D149="Airport",1,0)</f>
        <v>0</v>
      </c>
      <c r="H152" s="1" t="n">
        <f aca="false">IF(cleaned_data!C149="North",1,0)</f>
        <v>1</v>
      </c>
      <c r="I152" s="1" t="n">
        <f aca="false">IF(cleaned_data!C149="South",1,0)</f>
        <v>0</v>
      </c>
      <c r="J152" s="1" t="n">
        <f aca="false">IF(cleaned_data!C149="West",1,0)</f>
        <v>0</v>
      </c>
    </row>
    <row r="153" customFormat="false" ht="15" hidden="false" customHeight="true" outlineLevel="0" collapsed="false">
      <c r="A153" s="1" t="str">
        <f aca="false">cleaned_data!A150</f>
        <v>STR-1038</v>
      </c>
      <c r="B153" s="3" t="n">
        <f aca="false">cleaned_data!B150</f>
        <v>45658</v>
      </c>
      <c r="C153" s="1" t="str">
        <f aca="false">cleaned_data!D150</f>
        <v>Mall</v>
      </c>
      <c r="D153" s="1" t="str">
        <f aca="false">cleaned_data!C150</f>
        <v>South</v>
      </c>
      <c r="E153" s="1" t="n">
        <f aca="false">IF(cleaned_data!D150="Mall",1,0)</f>
        <v>1</v>
      </c>
      <c r="F153" s="1" t="n">
        <f aca="false">IF(cleaned_data!D150="Residential",1,0)</f>
        <v>0</v>
      </c>
      <c r="G153" s="1" t="n">
        <f aca="false">IF(cleaned_data!D150="Airport",1,0)</f>
        <v>0</v>
      </c>
      <c r="H153" s="1" t="n">
        <f aca="false">IF(cleaned_data!C150="North",1,0)</f>
        <v>0</v>
      </c>
      <c r="I153" s="1" t="n">
        <f aca="false">IF(cleaned_data!C150="South",1,0)</f>
        <v>1</v>
      </c>
      <c r="J153" s="1" t="n">
        <f aca="false">IF(cleaned_data!C150="West",1,0)</f>
        <v>0</v>
      </c>
    </row>
    <row r="154" customFormat="false" ht="15" hidden="false" customHeight="true" outlineLevel="0" collapsed="false">
      <c r="A154" s="1" t="str">
        <f aca="false">cleaned_data!A151</f>
        <v>STR-1038</v>
      </c>
      <c r="B154" s="3" t="n">
        <f aca="false">cleaned_data!B151</f>
        <v>45689</v>
      </c>
      <c r="C154" s="1" t="str">
        <f aca="false">cleaned_data!D151</f>
        <v>Mall</v>
      </c>
      <c r="D154" s="1" t="str">
        <f aca="false">cleaned_data!C151</f>
        <v>South</v>
      </c>
      <c r="E154" s="1" t="n">
        <f aca="false">IF(cleaned_data!D151="Mall",1,0)</f>
        <v>1</v>
      </c>
      <c r="F154" s="1" t="n">
        <f aca="false">IF(cleaned_data!D151="Residential",1,0)</f>
        <v>0</v>
      </c>
      <c r="G154" s="1" t="n">
        <f aca="false">IF(cleaned_data!D151="Airport",1,0)</f>
        <v>0</v>
      </c>
      <c r="H154" s="1" t="n">
        <f aca="false">IF(cleaned_data!C151="North",1,0)</f>
        <v>0</v>
      </c>
      <c r="I154" s="1" t="n">
        <f aca="false">IF(cleaned_data!C151="South",1,0)</f>
        <v>1</v>
      </c>
      <c r="J154" s="1" t="n">
        <f aca="false">IF(cleaned_data!C151="West",1,0)</f>
        <v>0</v>
      </c>
    </row>
    <row r="155" customFormat="false" ht="15" hidden="false" customHeight="true" outlineLevel="0" collapsed="false">
      <c r="A155" s="1" t="str">
        <f aca="false">cleaned_data!A152</f>
        <v>STR-1038</v>
      </c>
      <c r="B155" s="3" t="n">
        <f aca="false">cleaned_data!B152</f>
        <v>45717</v>
      </c>
      <c r="C155" s="1" t="str">
        <f aca="false">cleaned_data!D152</f>
        <v>Mall</v>
      </c>
      <c r="D155" s="1" t="str">
        <f aca="false">cleaned_data!C152</f>
        <v>South</v>
      </c>
      <c r="E155" s="1" t="n">
        <f aca="false">IF(cleaned_data!D152="Mall",1,0)</f>
        <v>1</v>
      </c>
      <c r="F155" s="1" t="n">
        <f aca="false">IF(cleaned_data!D152="Residential",1,0)</f>
        <v>0</v>
      </c>
      <c r="G155" s="1" t="n">
        <f aca="false">IF(cleaned_data!D152="Airport",1,0)</f>
        <v>0</v>
      </c>
      <c r="H155" s="1" t="n">
        <f aca="false">IF(cleaned_data!C152="North",1,0)</f>
        <v>0</v>
      </c>
      <c r="I155" s="1" t="n">
        <f aca="false">IF(cleaned_data!C152="South",1,0)</f>
        <v>1</v>
      </c>
      <c r="J155" s="1" t="n">
        <f aca="false">IF(cleaned_data!C152="West",1,0)</f>
        <v>0</v>
      </c>
    </row>
    <row r="156" customFormat="false" ht="15" hidden="false" customHeight="true" outlineLevel="0" collapsed="false">
      <c r="A156" s="1" t="str">
        <f aca="false">cleaned_data!A153</f>
        <v>STR-1038</v>
      </c>
      <c r="B156" s="3" t="n">
        <f aca="false">cleaned_data!B153</f>
        <v>45748</v>
      </c>
      <c r="C156" s="1" t="str">
        <f aca="false">cleaned_data!D153</f>
        <v>Mall</v>
      </c>
      <c r="D156" s="1" t="str">
        <f aca="false">cleaned_data!C153</f>
        <v>South</v>
      </c>
      <c r="E156" s="1" t="n">
        <f aca="false">IF(cleaned_data!D153="Mall",1,0)</f>
        <v>1</v>
      </c>
      <c r="F156" s="1" t="n">
        <f aca="false">IF(cleaned_data!D153="Residential",1,0)</f>
        <v>0</v>
      </c>
      <c r="G156" s="1" t="n">
        <f aca="false">IF(cleaned_data!D153="Airport",1,0)</f>
        <v>0</v>
      </c>
      <c r="H156" s="1" t="n">
        <f aca="false">IF(cleaned_data!C153="North",1,0)</f>
        <v>0</v>
      </c>
      <c r="I156" s="1" t="n">
        <f aca="false">IF(cleaned_data!C153="South",1,0)</f>
        <v>1</v>
      </c>
      <c r="J156" s="1" t="n">
        <f aca="false">IF(cleaned_data!C153="West",1,0)</f>
        <v>0</v>
      </c>
    </row>
    <row r="157" customFormat="false" ht="15" hidden="false" customHeight="true" outlineLevel="0" collapsed="false">
      <c r="A157" s="1" t="str">
        <f aca="false">cleaned_data!A154</f>
        <v>STR-1039</v>
      </c>
      <c r="B157" s="3" t="n">
        <f aca="false">cleaned_data!B154</f>
        <v>45658</v>
      </c>
      <c r="C157" s="1" t="str">
        <f aca="false">cleaned_data!D154</f>
        <v>High Street</v>
      </c>
      <c r="D157" s="1" t="str">
        <f aca="false">cleaned_data!C154</f>
        <v>East</v>
      </c>
      <c r="E157" s="1" t="n">
        <f aca="false">IF(cleaned_data!D154="Mall",1,0)</f>
        <v>0</v>
      </c>
      <c r="F157" s="1" t="n">
        <f aca="false">IF(cleaned_data!D154="Residential",1,0)</f>
        <v>0</v>
      </c>
      <c r="G157" s="1" t="n">
        <f aca="false">IF(cleaned_data!D154="Airport",1,0)</f>
        <v>0</v>
      </c>
      <c r="H157" s="1" t="n">
        <f aca="false">IF(cleaned_data!C154="North",1,0)</f>
        <v>0</v>
      </c>
      <c r="I157" s="1" t="n">
        <f aca="false">IF(cleaned_data!C154="South",1,0)</f>
        <v>0</v>
      </c>
      <c r="J157" s="1" t="n">
        <f aca="false">IF(cleaned_data!C154="West",1,0)</f>
        <v>0</v>
      </c>
    </row>
    <row r="158" customFormat="false" ht="15" hidden="false" customHeight="true" outlineLevel="0" collapsed="false">
      <c r="A158" s="1" t="str">
        <f aca="false">cleaned_data!A155</f>
        <v>STR-1039</v>
      </c>
      <c r="B158" s="3" t="n">
        <f aca="false">cleaned_data!B155</f>
        <v>45689</v>
      </c>
      <c r="C158" s="1" t="str">
        <f aca="false">cleaned_data!D155</f>
        <v>High Street</v>
      </c>
      <c r="D158" s="1" t="str">
        <f aca="false">cleaned_data!C155</f>
        <v>East</v>
      </c>
      <c r="E158" s="1" t="n">
        <f aca="false">IF(cleaned_data!D155="Mall",1,0)</f>
        <v>0</v>
      </c>
      <c r="F158" s="1" t="n">
        <f aca="false">IF(cleaned_data!D155="Residential",1,0)</f>
        <v>0</v>
      </c>
      <c r="G158" s="1" t="n">
        <f aca="false">IF(cleaned_data!D155="Airport",1,0)</f>
        <v>0</v>
      </c>
      <c r="H158" s="1" t="n">
        <f aca="false">IF(cleaned_data!C155="North",1,0)</f>
        <v>0</v>
      </c>
      <c r="I158" s="1" t="n">
        <f aca="false">IF(cleaned_data!C155="South",1,0)</f>
        <v>0</v>
      </c>
      <c r="J158" s="1" t="n">
        <f aca="false">IF(cleaned_data!C155="West",1,0)</f>
        <v>0</v>
      </c>
    </row>
    <row r="159" customFormat="false" ht="15" hidden="false" customHeight="true" outlineLevel="0" collapsed="false">
      <c r="A159" s="1" t="str">
        <f aca="false">cleaned_data!A156</f>
        <v>STR-1039</v>
      </c>
      <c r="B159" s="3" t="n">
        <f aca="false">cleaned_data!B156</f>
        <v>45717</v>
      </c>
      <c r="C159" s="1" t="str">
        <f aca="false">cleaned_data!D156</f>
        <v>High Street</v>
      </c>
      <c r="D159" s="1" t="str">
        <f aca="false">cleaned_data!C156</f>
        <v>East</v>
      </c>
      <c r="E159" s="1" t="n">
        <f aca="false">IF(cleaned_data!D156="Mall",1,0)</f>
        <v>0</v>
      </c>
      <c r="F159" s="1" t="n">
        <f aca="false">IF(cleaned_data!D156="Residential",1,0)</f>
        <v>0</v>
      </c>
      <c r="G159" s="1" t="n">
        <f aca="false">IF(cleaned_data!D156="Airport",1,0)</f>
        <v>0</v>
      </c>
      <c r="H159" s="1" t="n">
        <f aca="false">IF(cleaned_data!C156="North",1,0)</f>
        <v>0</v>
      </c>
      <c r="I159" s="1" t="n">
        <f aca="false">IF(cleaned_data!C156="South",1,0)</f>
        <v>0</v>
      </c>
      <c r="J159" s="1" t="n">
        <f aca="false">IF(cleaned_data!C156="West",1,0)</f>
        <v>0</v>
      </c>
    </row>
    <row r="160" customFormat="false" ht="15" hidden="false" customHeight="true" outlineLevel="0" collapsed="false">
      <c r="A160" s="1" t="str">
        <f aca="false">cleaned_data!A157</f>
        <v>STR-1039</v>
      </c>
      <c r="B160" s="3" t="n">
        <f aca="false">cleaned_data!B157</f>
        <v>45748</v>
      </c>
      <c r="C160" s="1" t="str">
        <f aca="false">cleaned_data!D157</f>
        <v>High Street</v>
      </c>
      <c r="D160" s="1" t="str">
        <f aca="false">cleaned_data!C157</f>
        <v>East</v>
      </c>
      <c r="E160" s="1" t="n">
        <f aca="false">IF(cleaned_data!D157="Mall",1,0)</f>
        <v>0</v>
      </c>
      <c r="F160" s="1" t="n">
        <f aca="false">IF(cleaned_data!D157="Residential",1,0)</f>
        <v>0</v>
      </c>
      <c r="G160" s="1" t="n">
        <f aca="false">IF(cleaned_data!D157="Airport",1,0)</f>
        <v>0</v>
      </c>
      <c r="H160" s="1" t="n">
        <f aca="false">IF(cleaned_data!C157="North",1,0)</f>
        <v>0</v>
      </c>
      <c r="I160" s="1" t="n">
        <f aca="false">IF(cleaned_data!C157="South",1,0)</f>
        <v>0</v>
      </c>
      <c r="J160" s="1" t="n">
        <f aca="false">IF(cleaned_data!C157="West",1,0)</f>
        <v>0</v>
      </c>
    </row>
    <row r="161" customFormat="false" ht="15" hidden="false" customHeight="true" outlineLevel="0" collapsed="false">
      <c r="A161" s="1" t="str">
        <f aca="false">cleaned_data!A158</f>
        <v>STR-1040</v>
      </c>
      <c r="B161" s="3" t="n">
        <f aca="false">cleaned_data!B158</f>
        <v>45658</v>
      </c>
      <c r="C161" s="1" t="str">
        <f aca="false">cleaned_data!D158</f>
        <v>Mall</v>
      </c>
      <c r="D161" s="1" t="str">
        <f aca="false">cleaned_data!C158</f>
        <v>North</v>
      </c>
      <c r="E161" s="1" t="n">
        <f aca="false">IF(cleaned_data!D158="Mall",1,0)</f>
        <v>1</v>
      </c>
      <c r="F161" s="1" t="n">
        <f aca="false">IF(cleaned_data!D158="Residential",1,0)</f>
        <v>0</v>
      </c>
      <c r="G161" s="1" t="n">
        <f aca="false">IF(cleaned_data!D158="Airport",1,0)</f>
        <v>0</v>
      </c>
      <c r="H161" s="1" t="n">
        <f aca="false">IF(cleaned_data!C158="North",1,0)</f>
        <v>1</v>
      </c>
      <c r="I161" s="1" t="n">
        <f aca="false">IF(cleaned_data!C158="South",1,0)</f>
        <v>0</v>
      </c>
      <c r="J161" s="1" t="n">
        <f aca="false">IF(cleaned_data!C158="West",1,0)</f>
        <v>0</v>
      </c>
    </row>
    <row r="162" customFormat="false" ht="15" hidden="false" customHeight="true" outlineLevel="0" collapsed="false">
      <c r="A162" s="1" t="str">
        <f aca="false">cleaned_data!A159</f>
        <v>STR-1040</v>
      </c>
      <c r="B162" s="3" t="n">
        <f aca="false">cleaned_data!B159</f>
        <v>45689</v>
      </c>
      <c r="C162" s="1" t="str">
        <f aca="false">cleaned_data!D159</f>
        <v>Mall</v>
      </c>
      <c r="D162" s="1" t="str">
        <f aca="false">cleaned_data!C159</f>
        <v>North</v>
      </c>
      <c r="E162" s="1" t="n">
        <f aca="false">IF(cleaned_data!D159="Mall",1,0)</f>
        <v>1</v>
      </c>
      <c r="F162" s="1" t="n">
        <f aca="false">IF(cleaned_data!D159="Residential",1,0)</f>
        <v>0</v>
      </c>
      <c r="G162" s="1" t="n">
        <f aca="false">IF(cleaned_data!D159="Airport",1,0)</f>
        <v>0</v>
      </c>
      <c r="H162" s="1" t="n">
        <f aca="false">IF(cleaned_data!C159="North",1,0)</f>
        <v>1</v>
      </c>
      <c r="I162" s="1" t="n">
        <f aca="false">IF(cleaned_data!C159="South",1,0)</f>
        <v>0</v>
      </c>
      <c r="J162" s="1" t="n">
        <f aca="false">IF(cleaned_data!C159="West",1,0)</f>
        <v>0</v>
      </c>
    </row>
    <row r="163" customFormat="false" ht="15" hidden="false" customHeight="true" outlineLevel="0" collapsed="false">
      <c r="A163" s="1" t="str">
        <f aca="false">cleaned_data!A160</f>
        <v>STR-1040</v>
      </c>
      <c r="B163" s="3" t="n">
        <f aca="false">cleaned_data!B160</f>
        <v>45717</v>
      </c>
      <c r="C163" s="1" t="str">
        <f aca="false">cleaned_data!D160</f>
        <v>Mall</v>
      </c>
      <c r="D163" s="1" t="str">
        <f aca="false">cleaned_data!C160</f>
        <v>North</v>
      </c>
      <c r="E163" s="1" t="n">
        <f aca="false">IF(cleaned_data!D160="Mall",1,0)</f>
        <v>1</v>
      </c>
      <c r="F163" s="1" t="n">
        <f aca="false">IF(cleaned_data!D160="Residential",1,0)</f>
        <v>0</v>
      </c>
      <c r="G163" s="1" t="n">
        <f aca="false">IF(cleaned_data!D160="Airport",1,0)</f>
        <v>0</v>
      </c>
      <c r="H163" s="1" t="n">
        <f aca="false">IF(cleaned_data!C160="North",1,0)</f>
        <v>1</v>
      </c>
      <c r="I163" s="1" t="n">
        <f aca="false">IF(cleaned_data!C160="South",1,0)</f>
        <v>0</v>
      </c>
      <c r="J163" s="1" t="n">
        <f aca="false">IF(cleaned_data!C160="West",1,0)</f>
        <v>0</v>
      </c>
    </row>
    <row r="164" customFormat="false" ht="15" hidden="false" customHeight="true" outlineLevel="0" collapsed="false">
      <c r="A164" s="1" t="str">
        <f aca="false">cleaned_data!A161</f>
        <v>STR-1040</v>
      </c>
      <c r="B164" s="3" t="n">
        <f aca="false">cleaned_data!B161</f>
        <v>45748</v>
      </c>
      <c r="C164" s="1" t="str">
        <f aca="false">cleaned_data!D161</f>
        <v>Mall</v>
      </c>
      <c r="D164" s="1" t="str">
        <f aca="false">cleaned_data!C161</f>
        <v>North</v>
      </c>
      <c r="E164" s="1" t="n">
        <f aca="false">IF(cleaned_data!D161="Mall",1,0)</f>
        <v>1</v>
      </c>
      <c r="F164" s="1" t="n">
        <f aca="false">IF(cleaned_data!D161="Residential",1,0)</f>
        <v>0</v>
      </c>
      <c r="G164" s="1" t="n">
        <f aca="false">IF(cleaned_data!D161="Airport",1,0)</f>
        <v>0</v>
      </c>
      <c r="H164" s="1" t="n">
        <f aca="false">IF(cleaned_data!C161="North",1,0)</f>
        <v>1</v>
      </c>
      <c r="I164" s="1" t="n">
        <f aca="false">IF(cleaned_data!C161="South",1,0)</f>
        <v>0</v>
      </c>
      <c r="J164" s="1" t="n">
        <f aca="false">IF(cleaned_data!C161="West",1,0)</f>
        <v>0</v>
      </c>
    </row>
    <row r="165" customFormat="false" ht="15" hidden="false" customHeight="true" outlineLevel="0" collapsed="false">
      <c r="A165" s="1" t="str">
        <f aca="false">cleaned_data!A162</f>
        <v>STR-1041</v>
      </c>
      <c r="B165" s="3" t="n">
        <f aca="false">cleaned_data!B162</f>
        <v>45658</v>
      </c>
      <c r="C165" s="1" t="str">
        <f aca="false">cleaned_data!D162</f>
        <v>High Street</v>
      </c>
      <c r="D165" s="1" t="str">
        <f aca="false">cleaned_data!C162</f>
        <v>South</v>
      </c>
      <c r="E165" s="1" t="n">
        <f aca="false">IF(cleaned_data!D162="Mall",1,0)</f>
        <v>0</v>
      </c>
      <c r="F165" s="1" t="n">
        <f aca="false">IF(cleaned_data!D162="Residential",1,0)</f>
        <v>0</v>
      </c>
      <c r="G165" s="1" t="n">
        <f aca="false">IF(cleaned_data!D162="Airport",1,0)</f>
        <v>0</v>
      </c>
      <c r="H165" s="1" t="n">
        <f aca="false">IF(cleaned_data!C162="North",1,0)</f>
        <v>0</v>
      </c>
      <c r="I165" s="1" t="n">
        <f aca="false">IF(cleaned_data!C162="South",1,0)</f>
        <v>1</v>
      </c>
      <c r="J165" s="1" t="n">
        <f aca="false">IF(cleaned_data!C162="West",1,0)</f>
        <v>0</v>
      </c>
    </row>
    <row r="166" customFormat="false" ht="15" hidden="false" customHeight="true" outlineLevel="0" collapsed="false">
      <c r="A166" s="1" t="str">
        <f aca="false">cleaned_data!A163</f>
        <v>STR-1041</v>
      </c>
      <c r="B166" s="3" t="n">
        <f aca="false">cleaned_data!B163</f>
        <v>45689</v>
      </c>
      <c r="C166" s="1" t="str">
        <f aca="false">cleaned_data!D163</f>
        <v>High Street</v>
      </c>
      <c r="D166" s="1" t="str">
        <f aca="false">cleaned_data!C163</f>
        <v>South</v>
      </c>
      <c r="E166" s="1" t="n">
        <f aca="false">IF(cleaned_data!D163="Mall",1,0)</f>
        <v>0</v>
      </c>
      <c r="F166" s="1" t="n">
        <f aca="false">IF(cleaned_data!D163="Residential",1,0)</f>
        <v>0</v>
      </c>
      <c r="G166" s="1" t="n">
        <f aca="false">IF(cleaned_data!D163="Airport",1,0)</f>
        <v>0</v>
      </c>
      <c r="H166" s="1" t="n">
        <f aca="false">IF(cleaned_data!C163="North",1,0)</f>
        <v>0</v>
      </c>
      <c r="I166" s="1" t="n">
        <f aca="false">IF(cleaned_data!C163="South",1,0)</f>
        <v>1</v>
      </c>
      <c r="J166" s="1" t="n">
        <f aca="false">IF(cleaned_data!C163="West",1,0)</f>
        <v>0</v>
      </c>
    </row>
    <row r="167" customFormat="false" ht="15" hidden="false" customHeight="true" outlineLevel="0" collapsed="false">
      <c r="A167" s="1" t="str">
        <f aca="false">cleaned_data!A164</f>
        <v>STR-1041</v>
      </c>
      <c r="B167" s="3" t="n">
        <f aca="false">cleaned_data!B164</f>
        <v>45717</v>
      </c>
      <c r="C167" s="1" t="str">
        <f aca="false">cleaned_data!D164</f>
        <v>High Street</v>
      </c>
      <c r="D167" s="1" t="str">
        <f aca="false">cleaned_data!C164</f>
        <v>South</v>
      </c>
      <c r="E167" s="1" t="n">
        <f aca="false">IF(cleaned_data!D164="Mall",1,0)</f>
        <v>0</v>
      </c>
      <c r="F167" s="1" t="n">
        <f aca="false">IF(cleaned_data!D164="Residential",1,0)</f>
        <v>0</v>
      </c>
      <c r="G167" s="1" t="n">
        <f aca="false">IF(cleaned_data!D164="Airport",1,0)</f>
        <v>0</v>
      </c>
      <c r="H167" s="1" t="n">
        <f aca="false">IF(cleaned_data!C164="North",1,0)</f>
        <v>0</v>
      </c>
      <c r="I167" s="1" t="n">
        <f aca="false">IF(cleaned_data!C164="South",1,0)</f>
        <v>1</v>
      </c>
      <c r="J167" s="1" t="n">
        <f aca="false">IF(cleaned_data!C164="West",1,0)</f>
        <v>0</v>
      </c>
    </row>
    <row r="168" customFormat="false" ht="15" hidden="false" customHeight="true" outlineLevel="0" collapsed="false">
      <c r="A168" s="1" t="str">
        <f aca="false">cleaned_data!A165</f>
        <v>STR-1041</v>
      </c>
      <c r="B168" s="3" t="n">
        <f aca="false">cleaned_data!B165</f>
        <v>45748</v>
      </c>
      <c r="C168" s="1" t="str">
        <f aca="false">cleaned_data!D165</f>
        <v>High Street</v>
      </c>
      <c r="D168" s="1" t="str">
        <f aca="false">cleaned_data!C165</f>
        <v>South</v>
      </c>
      <c r="E168" s="1" t="n">
        <f aca="false">IF(cleaned_data!D165="Mall",1,0)</f>
        <v>0</v>
      </c>
      <c r="F168" s="1" t="n">
        <f aca="false">IF(cleaned_data!D165="Residential",1,0)</f>
        <v>0</v>
      </c>
      <c r="G168" s="1" t="n">
        <f aca="false">IF(cleaned_data!D165="Airport",1,0)</f>
        <v>0</v>
      </c>
      <c r="H168" s="1" t="n">
        <f aca="false">IF(cleaned_data!C165="North",1,0)</f>
        <v>0</v>
      </c>
      <c r="I168" s="1" t="n">
        <f aca="false">IF(cleaned_data!C165="South",1,0)</f>
        <v>1</v>
      </c>
      <c r="J168" s="1" t="n">
        <f aca="false">IF(cleaned_data!C165="West",1,0)</f>
        <v>0</v>
      </c>
    </row>
    <row r="169" customFormat="false" ht="15" hidden="false" customHeight="true" outlineLevel="0" collapsed="false">
      <c r="A169" s="1" t="str">
        <f aca="false">cleaned_data!A166</f>
        <v>STR-1042</v>
      </c>
      <c r="B169" s="3" t="n">
        <f aca="false">cleaned_data!B166</f>
        <v>45658</v>
      </c>
      <c r="C169" s="1" t="str">
        <f aca="false">cleaned_data!D166</f>
        <v>Mall</v>
      </c>
      <c r="D169" s="1" t="str">
        <f aca="false">cleaned_data!C166</f>
        <v>North</v>
      </c>
      <c r="E169" s="1" t="n">
        <f aca="false">IF(cleaned_data!D166="Mall",1,0)</f>
        <v>1</v>
      </c>
      <c r="F169" s="1" t="n">
        <f aca="false">IF(cleaned_data!D166="Residential",1,0)</f>
        <v>0</v>
      </c>
      <c r="G169" s="1" t="n">
        <f aca="false">IF(cleaned_data!D166="Airport",1,0)</f>
        <v>0</v>
      </c>
      <c r="H169" s="1" t="n">
        <f aca="false">IF(cleaned_data!C166="North",1,0)</f>
        <v>1</v>
      </c>
      <c r="I169" s="1" t="n">
        <f aca="false">IF(cleaned_data!C166="South",1,0)</f>
        <v>0</v>
      </c>
      <c r="J169" s="1" t="n">
        <f aca="false">IF(cleaned_data!C166="West",1,0)</f>
        <v>0</v>
      </c>
    </row>
    <row r="170" customFormat="false" ht="15" hidden="false" customHeight="true" outlineLevel="0" collapsed="false">
      <c r="A170" s="1" t="str">
        <f aca="false">cleaned_data!A167</f>
        <v>STR-1042</v>
      </c>
      <c r="B170" s="3" t="n">
        <f aca="false">cleaned_data!B167</f>
        <v>45689</v>
      </c>
      <c r="C170" s="1" t="str">
        <f aca="false">cleaned_data!D167</f>
        <v>Mall</v>
      </c>
      <c r="D170" s="1" t="str">
        <f aca="false">cleaned_data!C167</f>
        <v>North</v>
      </c>
      <c r="E170" s="1" t="n">
        <f aca="false">IF(cleaned_data!D167="Mall",1,0)</f>
        <v>1</v>
      </c>
      <c r="F170" s="1" t="n">
        <f aca="false">IF(cleaned_data!D167="Residential",1,0)</f>
        <v>0</v>
      </c>
      <c r="G170" s="1" t="n">
        <f aca="false">IF(cleaned_data!D167="Airport",1,0)</f>
        <v>0</v>
      </c>
      <c r="H170" s="1" t="n">
        <f aca="false">IF(cleaned_data!C167="North",1,0)</f>
        <v>1</v>
      </c>
      <c r="I170" s="1" t="n">
        <f aca="false">IF(cleaned_data!C167="South",1,0)</f>
        <v>0</v>
      </c>
      <c r="J170" s="1" t="n">
        <f aca="false">IF(cleaned_data!C167="West",1,0)</f>
        <v>0</v>
      </c>
    </row>
    <row r="171" customFormat="false" ht="15" hidden="false" customHeight="true" outlineLevel="0" collapsed="false">
      <c r="A171" s="1" t="str">
        <f aca="false">cleaned_data!A168</f>
        <v>STR-1042</v>
      </c>
      <c r="B171" s="3" t="n">
        <f aca="false">cleaned_data!B168</f>
        <v>45717</v>
      </c>
      <c r="C171" s="1" t="str">
        <f aca="false">cleaned_data!D168</f>
        <v>Mall</v>
      </c>
      <c r="D171" s="1" t="str">
        <f aca="false">cleaned_data!C168</f>
        <v>North</v>
      </c>
      <c r="E171" s="1" t="n">
        <f aca="false">IF(cleaned_data!D168="Mall",1,0)</f>
        <v>1</v>
      </c>
      <c r="F171" s="1" t="n">
        <f aca="false">IF(cleaned_data!D168="Residential",1,0)</f>
        <v>0</v>
      </c>
      <c r="G171" s="1" t="n">
        <f aca="false">IF(cleaned_data!D168="Airport",1,0)</f>
        <v>0</v>
      </c>
      <c r="H171" s="1" t="n">
        <f aca="false">IF(cleaned_data!C168="North",1,0)</f>
        <v>1</v>
      </c>
      <c r="I171" s="1" t="n">
        <f aca="false">IF(cleaned_data!C168="South",1,0)</f>
        <v>0</v>
      </c>
      <c r="J171" s="1" t="n">
        <f aca="false">IF(cleaned_data!C168="West",1,0)</f>
        <v>0</v>
      </c>
    </row>
    <row r="172" customFormat="false" ht="15" hidden="false" customHeight="true" outlineLevel="0" collapsed="false">
      <c r="A172" s="1" t="str">
        <f aca="false">cleaned_data!A169</f>
        <v>STR-1042</v>
      </c>
      <c r="B172" s="3" t="n">
        <f aca="false">cleaned_data!B169</f>
        <v>45748</v>
      </c>
      <c r="C172" s="1" t="str">
        <f aca="false">cleaned_data!D169</f>
        <v>Mall</v>
      </c>
      <c r="D172" s="1" t="str">
        <f aca="false">cleaned_data!C169</f>
        <v>North</v>
      </c>
      <c r="E172" s="1" t="n">
        <f aca="false">IF(cleaned_data!D169="Mall",1,0)</f>
        <v>1</v>
      </c>
      <c r="F172" s="1" t="n">
        <f aca="false">IF(cleaned_data!D169="Residential",1,0)</f>
        <v>0</v>
      </c>
      <c r="G172" s="1" t="n">
        <f aca="false">IF(cleaned_data!D169="Airport",1,0)</f>
        <v>0</v>
      </c>
      <c r="H172" s="1" t="n">
        <f aca="false">IF(cleaned_data!C169="North",1,0)</f>
        <v>1</v>
      </c>
      <c r="I172" s="1" t="n">
        <f aca="false">IF(cleaned_data!C169="South",1,0)</f>
        <v>0</v>
      </c>
      <c r="J172" s="1" t="n">
        <f aca="false">IF(cleaned_data!C169="West",1,0)</f>
        <v>0</v>
      </c>
    </row>
    <row r="173" customFormat="false" ht="15" hidden="false" customHeight="true" outlineLevel="0" collapsed="false">
      <c r="A173" s="1" t="str">
        <f aca="false">cleaned_data!A170</f>
        <v>STR-1043</v>
      </c>
      <c r="B173" s="3" t="n">
        <f aca="false">cleaned_data!B170</f>
        <v>45658</v>
      </c>
      <c r="C173" s="1" t="str">
        <f aca="false">cleaned_data!D170</f>
        <v>Residential</v>
      </c>
      <c r="D173" s="1" t="str">
        <f aca="false">cleaned_data!C170</f>
        <v>East</v>
      </c>
      <c r="E173" s="1" t="n">
        <f aca="false">IF(cleaned_data!D170="Mall",1,0)</f>
        <v>0</v>
      </c>
      <c r="F173" s="1" t="n">
        <f aca="false">IF(cleaned_data!D170="Residential",1,0)</f>
        <v>1</v>
      </c>
      <c r="G173" s="1" t="n">
        <f aca="false">IF(cleaned_data!D170="Airport",1,0)</f>
        <v>0</v>
      </c>
      <c r="H173" s="1" t="n">
        <f aca="false">IF(cleaned_data!C170="North",1,0)</f>
        <v>0</v>
      </c>
      <c r="I173" s="1" t="n">
        <f aca="false">IF(cleaned_data!C170="South",1,0)</f>
        <v>0</v>
      </c>
      <c r="J173" s="1" t="n">
        <f aca="false">IF(cleaned_data!C170="West",1,0)</f>
        <v>0</v>
      </c>
    </row>
    <row r="174" customFormat="false" ht="15" hidden="false" customHeight="true" outlineLevel="0" collapsed="false">
      <c r="A174" s="1" t="str">
        <f aca="false">cleaned_data!A171</f>
        <v>STR-1043</v>
      </c>
      <c r="B174" s="3" t="n">
        <f aca="false">cleaned_data!B171</f>
        <v>45689</v>
      </c>
      <c r="C174" s="1" t="str">
        <f aca="false">cleaned_data!D171</f>
        <v>Residential</v>
      </c>
      <c r="D174" s="1" t="str">
        <f aca="false">cleaned_data!C171</f>
        <v>East</v>
      </c>
      <c r="E174" s="1" t="n">
        <f aca="false">IF(cleaned_data!D171="Mall",1,0)</f>
        <v>0</v>
      </c>
      <c r="F174" s="1" t="n">
        <f aca="false">IF(cleaned_data!D171="Residential",1,0)</f>
        <v>1</v>
      </c>
      <c r="G174" s="1" t="n">
        <f aca="false">IF(cleaned_data!D171="Airport",1,0)</f>
        <v>0</v>
      </c>
      <c r="H174" s="1" t="n">
        <f aca="false">IF(cleaned_data!C171="North",1,0)</f>
        <v>0</v>
      </c>
      <c r="I174" s="1" t="n">
        <f aca="false">IF(cleaned_data!C171="South",1,0)</f>
        <v>0</v>
      </c>
      <c r="J174" s="1" t="n">
        <f aca="false">IF(cleaned_data!C171="West",1,0)</f>
        <v>0</v>
      </c>
    </row>
    <row r="175" customFormat="false" ht="15" hidden="false" customHeight="true" outlineLevel="0" collapsed="false">
      <c r="A175" s="1" t="str">
        <f aca="false">cleaned_data!A172</f>
        <v>STR-1043</v>
      </c>
      <c r="B175" s="3" t="n">
        <f aca="false">cleaned_data!B172</f>
        <v>45717</v>
      </c>
      <c r="C175" s="1" t="str">
        <f aca="false">cleaned_data!D172</f>
        <v>Residential</v>
      </c>
      <c r="D175" s="1" t="str">
        <f aca="false">cleaned_data!C172</f>
        <v>East</v>
      </c>
      <c r="E175" s="1" t="n">
        <f aca="false">IF(cleaned_data!D172="Mall",1,0)</f>
        <v>0</v>
      </c>
      <c r="F175" s="1" t="n">
        <f aca="false">IF(cleaned_data!D172="Residential",1,0)</f>
        <v>1</v>
      </c>
      <c r="G175" s="1" t="n">
        <f aca="false">IF(cleaned_data!D172="Airport",1,0)</f>
        <v>0</v>
      </c>
      <c r="H175" s="1" t="n">
        <f aca="false">IF(cleaned_data!C172="North",1,0)</f>
        <v>0</v>
      </c>
      <c r="I175" s="1" t="n">
        <f aca="false">IF(cleaned_data!C172="South",1,0)</f>
        <v>0</v>
      </c>
      <c r="J175" s="1" t="n">
        <f aca="false">IF(cleaned_data!C172="West",1,0)</f>
        <v>0</v>
      </c>
    </row>
    <row r="176" customFormat="false" ht="15" hidden="false" customHeight="true" outlineLevel="0" collapsed="false">
      <c r="A176" s="1" t="str">
        <f aca="false">cleaned_data!A173</f>
        <v>STR-1043</v>
      </c>
      <c r="B176" s="3" t="n">
        <f aca="false">cleaned_data!B173</f>
        <v>45748</v>
      </c>
      <c r="C176" s="1" t="str">
        <f aca="false">cleaned_data!D173</f>
        <v>Residential</v>
      </c>
      <c r="D176" s="1" t="str">
        <f aca="false">cleaned_data!C173</f>
        <v>East</v>
      </c>
      <c r="E176" s="1" t="n">
        <f aca="false">IF(cleaned_data!D173="Mall",1,0)</f>
        <v>0</v>
      </c>
      <c r="F176" s="1" t="n">
        <f aca="false">IF(cleaned_data!D173="Residential",1,0)</f>
        <v>1</v>
      </c>
      <c r="G176" s="1" t="n">
        <f aca="false">IF(cleaned_data!D173="Airport",1,0)</f>
        <v>0</v>
      </c>
      <c r="H176" s="1" t="n">
        <f aca="false">IF(cleaned_data!C173="North",1,0)</f>
        <v>0</v>
      </c>
      <c r="I176" s="1" t="n">
        <f aca="false">IF(cleaned_data!C173="South",1,0)</f>
        <v>0</v>
      </c>
      <c r="J176" s="1" t="n">
        <f aca="false">IF(cleaned_data!C173="West",1,0)</f>
        <v>0</v>
      </c>
    </row>
    <row r="177" customFormat="false" ht="15" hidden="false" customHeight="true" outlineLevel="0" collapsed="false">
      <c r="A177" s="1" t="str">
        <f aca="false">cleaned_data!A174</f>
        <v>STR-1044</v>
      </c>
      <c r="B177" s="3" t="n">
        <f aca="false">cleaned_data!B174</f>
        <v>45658</v>
      </c>
      <c r="C177" s="1" t="str">
        <f aca="false">cleaned_data!D174</f>
        <v>Residential</v>
      </c>
      <c r="D177" s="1" t="str">
        <f aca="false">cleaned_data!C174</f>
        <v>East</v>
      </c>
      <c r="E177" s="1" t="n">
        <f aca="false">IF(cleaned_data!D174="Mall",1,0)</f>
        <v>0</v>
      </c>
      <c r="F177" s="1" t="n">
        <f aca="false">IF(cleaned_data!D174="Residential",1,0)</f>
        <v>1</v>
      </c>
      <c r="G177" s="1" t="n">
        <f aca="false">IF(cleaned_data!D174="Airport",1,0)</f>
        <v>0</v>
      </c>
      <c r="H177" s="1" t="n">
        <f aca="false">IF(cleaned_data!C174="North",1,0)</f>
        <v>0</v>
      </c>
      <c r="I177" s="1" t="n">
        <f aca="false">IF(cleaned_data!C174="South",1,0)</f>
        <v>0</v>
      </c>
      <c r="J177" s="1" t="n">
        <f aca="false">IF(cleaned_data!C174="West",1,0)</f>
        <v>0</v>
      </c>
    </row>
    <row r="178" customFormat="false" ht="15" hidden="false" customHeight="true" outlineLevel="0" collapsed="false">
      <c r="A178" s="1" t="str">
        <f aca="false">cleaned_data!A175</f>
        <v>STR-1044</v>
      </c>
      <c r="B178" s="3" t="n">
        <f aca="false">cleaned_data!B175</f>
        <v>45689</v>
      </c>
      <c r="C178" s="1" t="str">
        <f aca="false">cleaned_data!D175</f>
        <v>Residential</v>
      </c>
      <c r="D178" s="1" t="str">
        <f aca="false">cleaned_data!C175</f>
        <v>East</v>
      </c>
      <c r="E178" s="1" t="n">
        <f aca="false">IF(cleaned_data!D175="Mall",1,0)</f>
        <v>0</v>
      </c>
      <c r="F178" s="1" t="n">
        <f aca="false">IF(cleaned_data!D175="Residential",1,0)</f>
        <v>1</v>
      </c>
      <c r="G178" s="1" t="n">
        <f aca="false">IF(cleaned_data!D175="Airport",1,0)</f>
        <v>0</v>
      </c>
      <c r="H178" s="1" t="n">
        <f aca="false">IF(cleaned_data!C175="North",1,0)</f>
        <v>0</v>
      </c>
      <c r="I178" s="1" t="n">
        <f aca="false">IF(cleaned_data!C175="South",1,0)</f>
        <v>0</v>
      </c>
      <c r="J178" s="1" t="n">
        <f aca="false">IF(cleaned_data!C175="West",1,0)</f>
        <v>0</v>
      </c>
    </row>
    <row r="179" customFormat="false" ht="15" hidden="false" customHeight="true" outlineLevel="0" collapsed="false">
      <c r="A179" s="1" t="str">
        <f aca="false">cleaned_data!A176</f>
        <v>STR-1044</v>
      </c>
      <c r="B179" s="3" t="n">
        <f aca="false">cleaned_data!B176</f>
        <v>45717</v>
      </c>
      <c r="C179" s="1" t="str">
        <f aca="false">cleaned_data!D176</f>
        <v>Residential</v>
      </c>
      <c r="D179" s="1" t="str">
        <f aca="false">cleaned_data!C176</f>
        <v>East</v>
      </c>
      <c r="E179" s="1" t="n">
        <f aca="false">IF(cleaned_data!D176="Mall",1,0)</f>
        <v>0</v>
      </c>
      <c r="F179" s="1" t="n">
        <f aca="false">IF(cleaned_data!D176="Residential",1,0)</f>
        <v>1</v>
      </c>
      <c r="G179" s="1" t="n">
        <f aca="false">IF(cleaned_data!D176="Airport",1,0)</f>
        <v>0</v>
      </c>
      <c r="H179" s="1" t="n">
        <f aca="false">IF(cleaned_data!C176="North",1,0)</f>
        <v>0</v>
      </c>
      <c r="I179" s="1" t="n">
        <f aca="false">IF(cleaned_data!C176="South",1,0)</f>
        <v>0</v>
      </c>
      <c r="J179" s="1" t="n">
        <f aca="false">IF(cleaned_data!C176="West",1,0)</f>
        <v>0</v>
      </c>
    </row>
    <row r="180" customFormat="false" ht="15" hidden="false" customHeight="true" outlineLevel="0" collapsed="false">
      <c r="A180" s="1" t="str">
        <f aca="false">cleaned_data!A177</f>
        <v>STR-1044</v>
      </c>
      <c r="B180" s="3" t="n">
        <f aca="false">cleaned_data!B177</f>
        <v>45748</v>
      </c>
      <c r="C180" s="1" t="str">
        <f aca="false">cleaned_data!D177</f>
        <v>Residential</v>
      </c>
      <c r="D180" s="1" t="str">
        <f aca="false">cleaned_data!C177</f>
        <v>East</v>
      </c>
      <c r="E180" s="1" t="n">
        <f aca="false">IF(cleaned_data!D177="Mall",1,0)</f>
        <v>0</v>
      </c>
      <c r="F180" s="1" t="n">
        <f aca="false">IF(cleaned_data!D177="Residential",1,0)</f>
        <v>1</v>
      </c>
      <c r="G180" s="1" t="n">
        <f aca="false">IF(cleaned_data!D177="Airport",1,0)</f>
        <v>0</v>
      </c>
      <c r="H180" s="1" t="n">
        <f aca="false">IF(cleaned_data!C177="North",1,0)</f>
        <v>0</v>
      </c>
      <c r="I180" s="1" t="n">
        <f aca="false">IF(cleaned_data!C177="South",1,0)</f>
        <v>0</v>
      </c>
      <c r="J180" s="1" t="n">
        <f aca="false">IF(cleaned_data!C177="West",1,0)</f>
        <v>0</v>
      </c>
    </row>
    <row r="181" customFormat="false" ht="15" hidden="false" customHeight="true" outlineLevel="0" collapsed="false">
      <c r="A181" s="1" t="str">
        <f aca="false">cleaned_data!A178</f>
        <v>STR-1045</v>
      </c>
      <c r="B181" s="3" t="n">
        <f aca="false">cleaned_data!B178</f>
        <v>45658</v>
      </c>
      <c r="C181" s="1" t="str">
        <f aca="false">cleaned_data!D178</f>
        <v>Airport</v>
      </c>
      <c r="D181" s="1" t="str">
        <f aca="false">cleaned_data!C178</f>
        <v>West</v>
      </c>
      <c r="E181" s="1" t="n">
        <f aca="false">IF(cleaned_data!D178="Mall",1,0)</f>
        <v>0</v>
      </c>
      <c r="F181" s="1" t="n">
        <f aca="false">IF(cleaned_data!D178="Residential",1,0)</f>
        <v>0</v>
      </c>
      <c r="G181" s="1" t="n">
        <f aca="false">IF(cleaned_data!D178="Airport",1,0)</f>
        <v>1</v>
      </c>
      <c r="H181" s="1" t="n">
        <f aca="false">IF(cleaned_data!C178="North",1,0)</f>
        <v>0</v>
      </c>
      <c r="I181" s="1" t="n">
        <f aca="false">IF(cleaned_data!C178="South",1,0)</f>
        <v>0</v>
      </c>
      <c r="J181" s="1" t="n">
        <f aca="false">IF(cleaned_data!C178="West",1,0)</f>
        <v>1</v>
      </c>
    </row>
    <row r="182" customFormat="false" ht="15" hidden="false" customHeight="true" outlineLevel="0" collapsed="false">
      <c r="A182" s="1" t="str">
        <f aca="false">cleaned_data!A179</f>
        <v>STR-1045</v>
      </c>
      <c r="B182" s="3" t="n">
        <f aca="false">cleaned_data!B179</f>
        <v>45689</v>
      </c>
      <c r="C182" s="1" t="str">
        <f aca="false">cleaned_data!D179</f>
        <v>Airport</v>
      </c>
      <c r="D182" s="1" t="str">
        <f aca="false">cleaned_data!C179</f>
        <v>West</v>
      </c>
      <c r="E182" s="1" t="n">
        <f aca="false">IF(cleaned_data!D179="Mall",1,0)</f>
        <v>0</v>
      </c>
      <c r="F182" s="1" t="n">
        <f aca="false">IF(cleaned_data!D179="Residential",1,0)</f>
        <v>0</v>
      </c>
      <c r="G182" s="1" t="n">
        <f aca="false">IF(cleaned_data!D179="Airport",1,0)</f>
        <v>1</v>
      </c>
      <c r="H182" s="1" t="n">
        <f aca="false">IF(cleaned_data!C179="North",1,0)</f>
        <v>0</v>
      </c>
      <c r="I182" s="1" t="n">
        <f aca="false">IF(cleaned_data!C179="South",1,0)</f>
        <v>0</v>
      </c>
      <c r="J182" s="1" t="n">
        <f aca="false">IF(cleaned_data!C179="West",1,0)</f>
        <v>1</v>
      </c>
    </row>
    <row r="183" customFormat="false" ht="15" hidden="false" customHeight="true" outlineLevel="0" collapsed="false">
      <c r="A183" s="1" t="str">
        <f aca="false">cleaned_data!A180</f>
        <v>STR-1045</v>
      </c>
      <c r="B183" s="3" t="n">
        <f aca="false">cleaned_data!B180</f>
        <v>45717</v>
      </c>
      <c r="C183" s="1" t="str">
        <f aca="false">cleaned_data!D180</f>
        <v>Airport</v>
      </c>
      <c r="D183" s="1" t="str">
        <f aca="false">cleaned_data!C180</f>
        <v>West</v>
      </c>
      <c r="E183" s="1" t="n">
        <f aca="false">IF(cleaned_data!D180="Mall",1,0)</f>
        <v>0</v>
      </c>
      <c r="F183" s="1" t="n">
        <f aca="false">IF(cleaned_data!D180="Residential",1,0)</f>
        <v>0</v>
      </c>
      <c r="G183" s="1" t="n">
        <f aca="false">IF(cleaned_data!D180="Airport",1,0)</f>
        <v>1</v>
      </c>
      <c r="H183" s="1" t="n">
        <f aca="false">IF(cleaned_data!C180="North",1,0)</f>
        <v>0</v>
      </c>
      <c r="I183" s="1" t="n">
        <f aca="false">IF(cleaned_data!C180="South",1,0)</f>
        <v>0</v>
      </c>
      <c r="J183" s="1" t="n">
        <f aca="false">IF(cleaned_data!C180="West",1,0)</f>
        <v>1</v>
      </c>
    </row>
    <row r="184" customFormat="false" ht="15" hidden="false" customHeight="true" outlineLevel="0" collapsed="false">
      <c r="A184" s="1" t="str">
        <f aca="false">cleaned_data!A181</f>
        <v>STR-1045</v>
      </c>
      <c r="B184" s="3" t="n">
        <f aca="false">cleaned_data!B181</f>
        <v>45748</v>
      </c>
      <c r="C184" s="1" t="str">
        <f aca="false">cleaned_data!D181</f>
        <v>Airport</v>
      </c>
      <c r="D184" s="1" t="str">
        <f aca="false">cleaned_data!C181</f>
        <v>West</v>
      </c>
      <c r="E184" s="1" t="n">
        <f aca="false">IF(cleaned_data!D181="Mall",1,0)</f>
        <v>0</v>
      </c>
      <c r="F184" s="1" t="n">
        <f aca="false">IF(cleaned_data!D181="Residential",1,0)</f>
        <v>0</v>
      </c>
      <c r="G184" s="1" t="n">
        <f aca="false">IF(cleaned_data!D181="Airport",1,0)</f>
        <v>1</v>
      </c>
      <c r="H184" s="1" t="n">
        <f aca="false">IF(cleaned_data!C181="North",1,0)</f>
        <v>0</v>
      </c>
      <c r="I184" s="1" t="n">
        <f aca="false">IF(cleaned_data!C181="South",1,0)</f>
        <v>0</v>
      </c>
      <c r="J184" s="1" t="n">
        <f aca="false">IF(cleaned_data!C181="West",1,0)</f>
        <v>1</v>
      </c>
    </row>
    <row r="185" customFormat="false" ht="15" hidden="false" customHeight="true" outlineLevel="0" collapsed="false">
      <c r="A185" s="1" t="str">
        <f aca="false">cleaned_data!A182</f>
        <v>STR-1046</v>
      </c>
      <c r="B185" s="3" t="n">
        <f aca="false">cleaned_data!B182</f>
        <v>45658</v>
      </c>
      <c r="C185" s="1" t="str">
        <f aca="false">cleaned_data!D182</f>
        <v>Residential</v>
      </c>
      <c r="D185" s="1" t="str">
        <f aca="false">cleaned_data!C182</f>
        <v>West</v>
      </c>
      <c r="E185" s="1" t="n">
        <f aca="false">IF(cleaned_data!D182="Mall",1,0)</f>
        <v>0</v>
      </c>
      <c r="F185" s="1" t="n">
        <f aca="false">IF(cleaned_data!D182="Residential",1,0)</f>
        <v>1</v>
      </c>
      <c r="G185" s="1" t="n">
        <f aca="false">IF(cleaned_data!D182="Airport",1,0)</f>
        <v>0</v>
      </c>
      <c r="H185" s="1" t="n">
        <f aca="false">IF(cleaned_data!C182="North",1,0)</f>
        <v>0</v>
      </c>
      <c r="I185" s="1" t="n">
        <f aca="false">IF(cleaned_data!C182="South",1,0)</f>
        <v>0</v>
      </c>
      <c r="J185" s="1" t="n">
        <f aca="false">IF(cleaned_data!C182="West",1,0)</f>
        <v>1</v>
      </c>
    </row>
    <row r="186" customFormat="false" ht="15" hidden="false" customHeight="true" outlineLevel="0" collapsed="false">
      <c r="A186" s="1" t="str">
        <f aca="false">cleaned_data!A183</f>
        <v>STR-1046</v>
      </c>
      <c r="B186" s="3" t="n">
        <f aca="false">cleaned_data!B183</f>
        <v>45689</v>
      </c>
      <c r="C186" s="1" t="str">
        <f aca="false">cleaned_data!D183</f>
        <v>Residential</v>
      </c>
      <c r="D186" s="1" t="str">
        <f aca="false">cleaned_data!C183</f>
        <v>West</v>
      </c>
      <c r="E186" s="1" t="n">
        <f aca="false">IF(cleaned_data!D183="Mall",1,0)</f>
        <v>0</v>
      </c>
      <c r="F186" s="1" t="n">
        <f aca="false">IF(cleaned_data!D183="Residential",1,0)</f>
        <v>1</v>
      </c>
      <c r="G186" s="1" t="n">
        <f aca="false">IF(cleaned_data!D183="Airport",1,0)</f>
        <v>0</v>
      </c>
      <c r="H186" s="1" t="n">
        <f aca="false">IF(cleaned_data!C183="North",1,0)</f>
        <v>0</v>
      </c>
      <c r="I186" s="1" t="n">
        <f aca="false">IF(cleaned_data!C183="South",1,0)</f>
        <v>0</v>
      </c>
      <c r="J186" s="1" t="n">
        <f aca="false">IF(cleaned_data!C183="West",1,0)</f>
        <v>1</v>
      </c>
    </row>
    <row r="187" customFormat="false" ht="15" hidden="false" customHeight="true" outlineLevel="0" collapsed="false">
      <c r="A187" s="1" t="str">
        <f aca="false">cleaned_data!A184</f>
        <v>STR-1046</v>
      </c>
      <c r="B187" s="3" t="n">
        <f aca="false">cleaned_data!B184</f>
        <v>45717</v>
      </c>
      <c r="C187" s="1" t="str">
        <f aca="false">cleaned_data!D184</f>
        <v>Residential</v>
      </c>
      <c r="D187" s="1" t="str">
        <f aca="false">cleaned_data!C184</f>
        <v>West</v>
      </c>
      <c r="E187" s="1" t="n">
        <f aca="false">IF(cleaned_data!D184="Mall",1,0)</f>
        <v>0</v>
      </c>
      <c r="F187" s="1" t="n">
        <f aca="false">IF(cleaned_data!D184="Residential",1,0)</f>
        <v>1</v>
      </c>
      <c r="G187" s="1" t="n">
        <f aca="false">IF(cleaned_data!D184="Airport",1,0)</f>
        <v>0</v>
      </c>
      <c r="H187" s="1" t="n">
        <f aca="false">IF(cleaned_data!C184="North",1,0)</f>
        <v>0</v>
      </c>
      <c r="I187" s="1" t="n">
        <f aca="false">IF(cleaned_data!C184="South",1,0)</f>
        <v>0</v>
      </c>
      <c r="J187" s="1" t="n">
        <f aca="false">IF(cleaned_data!C184="West",1,0)</f>
        <v>1</v>
      </c>
    </row>
    <row r="188" customFormat="false" ht="15" hidden="false" customHeight="true" outlineLevel="0" collapsed="false">
      <c r="A188" s="1" t="str">
        <f aca="false">cleaned_data!A185</f>
        <v>STR-1046</v>
      </c>
      <c r="B188" s="3" t="n">
        <f aca="false">cleaned_data!B185</f>
        <v>45748</v>
      </c>
      <c r="C188" s="1" t="str">
        <f aca="false">cleaned_data!D185</f>
        <v>Residential</v>
      </c>
      <c r="D188" s="1" t="str">
        <f aca="false">cleaned_data!C185</f>
        <v>West</v>
      </c>
      <c r="E188" s="1" t="n">
        <f aca="false">IF(cleaned_data!D185="Mall",1,0)</f>
        <v>0</v>
      </c>
      <c r="F188" s="1" t="n">
        <f aca="false">IF(cleaned_data!D185="Residential",1,0)</f>
        <v>1</v>
      </c>
      <c r="G188" s="1" t="n">
        <f aca="false">IF(cleaned_data!D185="Airport",1,0)</f>
        <v>0</v>
      </c>
      <c r="H188" s="1" t="n">
        <f aca="false">IF(cleaned_data!C185="North",1,0)</f>
        <v>0</v>
      </c>
      <c r="I188" s="1" t="n">
        <f aca="false">IF(cleaned_data!C185="South",1,0)</f>
        <v>0</v>
      </c>
      <c r="J188" s="1" t="n">
        <f aca="false">IF(cleaned_data!C185="West",1,0)</f>
        <v>1</v>
      </c>
    </row>
    <row r="189" customFormat="false" ht="15" hidden="false" customHeight="true" outlineLevel="0" collapsed="false">
      <c r="A189" s="1" t="str">
        <f aca="false">cleaned_data!A186</f>
        <v>STR-1047</v>
      </c>
      <c r="B189" s="3" t="n">
        <f aca="false">cleaned_data!B186</f>
        <v>45658</v>
      </c>
      <c r="C189" s="1" t="str">
        <f aca="false">cleaned_data!D186</f>
        <v>High Street</v>
      </c>
      <c r="D189" s="1" t="str">
        <f aca="false">cleaned_data!C186</f>
        <v>North</v>
      </c>
      <c r="E189" s="1" t="n">
        <f aca="false">IF(cleaned_data!D186="Mall",1,0)</f>
        <v>0</v>
      </c>
      <c r="F189" s="1" t="n">
        <f aca="false">IF(cleaned_data!D186="Residential",1,0)</f>
        <v>0</v>
      </c>
      <c r="G189" s="1" t="n">
        <f aca="false">IF(cleaned_data!D186="Airport",1,0)</f>
        <v>0</v>
      </c>
      <c r="H189" s="1" t="n">
        <f aca="false">IF(cleaned_data!C186="North",1,0)</f>
        <v>1</v>
      </c>
      <c r="I189" s="1" t="n">
        <f aca="false">IF(cleaned_data!C186="South",1,0)</f>
        <v>0</v>
      </c>
      <c r="J189" s="1" t="n">
        <f aca="false">IF(cleaned_data!C186="West",1,0)</f>
        <v>0</v>
      </c>
    </row>
    <row r="190" customFormat="false" ht="15" hidden="false" customHeight="true" outlineLevel="0" collapsed="false">
      <c r="A190" s="1" t="str">
        <f aca="false">cleaned_data!A187</f>
        <v>STR-1047</v>
      </c>
      <c r="B190" s="3" t="n">
        <f aca="false">cleaned_data!B187</f>
        <v>45689</v>
      </c>
      <c r="C190" s="1" t="str">
        <f aca="false">cleaned_data!D187</f>
        <v>High Street</v>
      </c>
      <c r="D190" s="1" t="str">
        <f aca="false">cleaned_data!C187</f>
        <v>North</v>
      </c>
      <c r="E190" s="1" t="n">
        <f aca="false">IF(cleaned_data!D187="Mall",1,0)</f>
        <v>0</v>
      </c>
      <c r="F190" s="1" t="n">
        <f aca="false">IF(cleaned_data!D187="Residential",1,0)</f>
        <v>0</v>
      </c>
      <c r="G190" s="1" t="n">
        <f aca="false">IF(cleaned_data!D187="Airport",1,0)</f>
        <v>0</v>
      </c>
      <c r="H190" s="1" t="n">
        <f aca="false">IF(cleaned_data!C187="North",1,0)</f>
        <v>1</v>
      </c>
      <c r="I190" s="1" t="n">
        <f aca="false">IF(cleaned_data!C187="South",1,0)</f>
        <v>0</v>
      </c>
      <c r="J190" s="1" t="n">
        <f aca="false">IF(cleaned_data!C187="West",1,0)</f>
        <v>0</v>
      </c>
    </row>
    <row r="191" customFormat="false" ht="15" hidden="false" customHeight="true" outlineLevel="0" collapsed="false">
      <c r="A191" s="1" t="str">
        <f aca="false">cleaned_data!A188</f>
        <v>STR-1047</v>
      </c>
      <c r="B191" s="3" t="n">
        <f aca="false">cleaned_data!B188</f>
        <v>45717</v>
      </c>
      <c r="C191" s="1" t="str">
        <f aca="false">cleaned_data!D188</f>
        <v>High Street</v>
      </c>
      <c r="D191" s="1" t="str">
        <f aca="false">cleaned_data!C188</f>
        <v>North</v>
      </c>
      <c r="E191" s="1" t="n">
        <f aca="false">IF(cleaned_data!D188="Mall",1,0)</f>
        <v>0</v>
      </c>
      <c r="F191" s="1" t="n">
        <f aca="false">IF(cleaned_data!D188="Residential",1,0)</f>
        <v>0</v>
      </c>
      <c r="G191" s="1" t="n">
        <f aca="false">IF(cleaned_data!D188="Airport",1,0)</f>
        <v>0</v>
      </c>
      <c r="H191" s="1" t="n">
        <f aca="false">IF(cleaned_data!C188="North",1,0)</f>
        <v>1</v>
      </c>
      <c r="I191" s="1" t="n">
        <f aca="false">IF(cleaned_data!C188="South",1,0)</f>
        <v>0</v>
      </c>
      <c r="J191" s="1" t="n">
        <f aca="false">IF(cleaned_data!C188="West",1,0)</f>
        <v>0</v>
      </c>
    </row>
    <row r="192" customFormat="false" ht="15" hidden="false" customHeight="true" outlineLevel="0" collapsed="false">
      <c r="A192" s="1" t="str">
        <f aca="false">cleaned_data!A189</f>
        <v>STR-1047</v>
      </c>
      <c r="B192" s="3" t="n">
        <f aca="false">cleaned_data!B189</f>
        <v>45748</v>
      </c>
      <c r="C192" s="1" t="str">
        <f aca="false">cleaned_data!D189</f>
        <v>High Street</v>
      </c>
      <c r="D192" s="1" t="str">
        <f aca="false">cleaned_data!C189</f>
        <v>North</v>
      </c>
      <c r="E192" s="1" t="n">
        <f aca="false">IF(cleaned_data!D189="Mall",1,0)</f>
        <v>0</v>
      </c>
      <c r="F192" s="1" t="n">
        <f aca="false">IF(cleaned_data!D189="Residential",1,0)</f>
        <v>0</v>
      </c>
      <c r="G192" s="1" t="n">
        <f aca="false">IF(cleaned_data!D189="Airport",1,0)</f>
        <v>0</v>
      </c>
      <c r="H192" s="1" t="n">
        <f aca="false">IF(cleaned_data!C189="North",1,0)</f>
        <v>1</v>
      </c>
      <c r="I192" s="1" t="n">
        <f aca="false">IF(cleaned_data!C189="South",1,0)</f>
        <v>0</v>
      </c>
      <c r="J192" s="1" t="n">
        <f aca="false">IF(cleaned_data!C189="West",1,0)</f>
        <v>0</v>
      </c>
    </row>
    <row r="193" customFormat="false" ht="15" hidden="false" customHeight="true" outlineLevel="0" collapsed="false">
      <c r="A193" s="1" t="str">
        <f aca="false">cleaned_data!A190</f>
        <v>STR-1048</v>
      </c>
      <c r="B193" s="3" t="n">
        <f aca="false">cleaned_data!B190</f>
        <v>45658</v>
      </c>
      <c r="C193" s="1" t="str">
        <f aca="false">cleaned_data!D190</f>
        <v>High Street</v>
      </c>
      <c r="D193" s="1" t="str">
        <f aca="false">cleaned_data!C190</f>
        <v>East</v>
      </c>
      <c r="E193" s="1" t="n">
        <f aca="false">IF(cleaned_data!D190="Mall",1,0)</f>
        <v>0</v>
      </c>
      <c r="F193" s="1" t="n">
        <f aca="false">IF(cleaned_data!D190="Residential",1,0)</f>
        <v>0</v>
      </c>
      <c r="G193" s="1" t="n">
        <f aca="false">IF(cleaned_data!D190="Airport",1,0)</f>
        <v>0</v>
      </c>
      <c r="H193" s="1" t="n">
        <f aca="false">IF(cleaned_data!C190="North",1,0)</f>
        <v>0</v>
      </c>
      <c r="I193" s="1" t="n">
        <f aca="false">IF(cleaned_data!C190="South",1,0)</f>
        <v>0</v>
      </c>
      <c r="J193" s="1" t="n">
        <f aca="false">IF(cleaned_data!C190="West",1,0)</f>
        <v>0</v>
      </c>
    </row>
    <row r="194" customFormat="false" ht="15" hidden="false" customHeight="true" outlineLevel="0" collapsed="false">
      <c r="A194" s="1" t="str">
        <f aca="false">cleaned_data!A191</f>
        <v>STR-1048</v>
      </c>
      <c r="B194" s="3" t="n">
        <f aca="false">cleaned_data!B191</f>
        <v>45689</v>
      </c>
      <c r="C194" s="1" t="str">
        <f aca="false">cleaned_data!D191</f>
        <v>High Street</v>
      </c>
      <c r="D194" s="1" t="str">
        <f aca="false">cleaned_data!C191</f>
        <v>East</v>
      </c>
      <c r="E194" s="1" t="n">
        <f aca="false">IF(cleaned_data!D191="Mall",1,0)</f>
        <v>0</v>
      </c>
      <c r="F194" s="1" t="n">
        <f aca="false">IF(cleaned_data!D191="Residential",1,0)</f>
        <v>0</v>
      </c>
      <c r="G194" s="1" t="n">
        <f aca="false">IF(cleaned_data!D191="Airport",1,0)</f>
        <v>0</v>
      </c>
      <c r="H194" s="1" t="n">
        <f aca="false">IF(cleaned_data!C191="North",1,0)</f>
        <v>0</v>
      </c>
      <c r="I194" s="1" t="n">
        <f aca="false">IF(cleaned_data!C191="South",1,0)</f>
        <v>0</v>
      </c>
      <c r="J194" s="1" t="n">
        <f aca="false">IF(cleaned_data!C191="West",1,0)</f>
        <v>0</v>
      </c>
    </row>
    <row r="195" customFormat="false" ht="15" hidden="false" customHeight="true" outlineLevel="0" collapsed="false">
      <c r="A195" s="1" t="str">
        <f aca="false">cleaned_data!A192</f>
        <v>STR-1048</v>
      </c>
      <c r="B195" s="3" t="n">
        <f aca="false">cleaned_data!B192</f>
        <v>45717</v>
      </c>
      <c r="C195" s="1" t="str">
        <f aca="false">cleaned_data!D192</f>
        <v>High Street</v>
      </c>
      <c r="D195" s="1" t="str">
        <f aca="false">cleaned_data!C192</f>
        <v>East</v>
      </c>
      <c r="E195" s="1" t="n">
        <f aca="false">IF(cleaned_data!D192="Mall",1,0)</f>
        <v>0</v>
      </c>
      <c r="F195" s="1" t="n">
        <f aca="false">IF(cleaned_data!D192="Residential",1,0)</f>
        <v>0</v>
      </c>
      <c r="G195" s="1" t="n">
        <f aca="false">IF(cleaned_data!D192="Airport",1,0)</f>
        <v>0</v>
      </c>
      <c r="H195" s="1" t="n">
        <f aca="false">IF(cleaned_data!C192="North",1,0)</f>
        <v>0</v>
      </c>
      <c r="I195" s="1" t="n">
        <f aca="false">IF(cleaned_data!C192="South",1,0)</f>
        <v>0</v>
      </c>
      <c r="J195" s="1" t="n">
        <f aca="false">IF(cleaned_data!C192="West",1,0)</f>
        <v>0</v>
      </c>
    </row>
    <row r="196" customFormat="false" ht="15" hidden="false" customHeight="true" outlineLevel="0" collapsed="false">
      <c r="A196" s="1" t="str">
        <f aca="false">cleaned_data!A193</f>
        <v>STR-1048</v>
      </c>
      <c r="B196" s="3" t="n">
        <f aca="false">cleaned_data!B193</f>
        <v>45748</v>
      </c>
      <c r="C196" s="1" t="str">
        <f aca="false">cleaned_data!D193</f>
        <v>High Street</v>
      </c>
      <c r="D196" s="1" t="str">
        <f aca="false">cleaned_data!C193</f>
        <v>East</v>
      </c>
      <c r="E196" s="1" t="n">
        <f aca="false">IF(cleaned_data!D193="Mall",1,0)</f>
        <v>0</v>
      </c>
      <c r="F196" s="1" t="n">
        <f aca="false">IF(cleaned_data!D193="Residential",1,0)</f>
        <v>0</v>
      </c>
      <c r="G196" s="1" t="n">
        <f aca="false">IF(cleaned_data!D193="Airport",1,0)</f>
        <v>0</v>
      </c>
      <c r="H196" s="1" t="n">
        <f aca="false">IF(cleaned_data!C193="North",1,0)</f>
        <v>0</v>
      </c>
      <c r="I196" s="1" t="n">
        <f aca="false">IF(cleaned_data!C193="South",1,0)</f>
        <v>0</v>
      </c>
      <c r="J196" s="1" t="n">
        <f aca="false">IF(cleaned_data!C193="West",1,0)</f>
        <v>0</v>
      </c>
    </row>
    <row r="197" customFormat="false" ht="15" hidden="false" customHeight="true" outlineLevel="0" collapsed="false">
      <c r="A197" s="1" t="str">
        <f aca="false">cleaned_data!A194</f>
        <v>STR-1049</v>
      </c>
      <c r="B197" s="3" t="n">
        <f aca="false">cleaned_data!B194</f>
        <v>45658</v>
      </c>
      <c r="C197" s="1" t="str">
        <f aca="false">cleaned_data!D194</f>
        <v>Residential</v>
      </c>
      <c r="D197" s="1" t="str">
        <f aca="false">cleaned_data!C194</f>
        <v>West</v>
      </c>
      <c r="E197" s="1" t="n">
        <f aca="false">IF(cleaned_data!D194="Mall",1,0)</f>
        <v>0</v>
      </c>
      <c r="F197" s="1" t="n">
        <f aca="false">IF(cleaned_data!D194="Residential",1,0)</f>
        <v>1</v>
      </c>
      <c r="G197" s="1" t="n">
        <f aca="false">IF(cleaned_data!D194="Airport",1,0)</f>
        <v>0</v>
      </c>
      <c r="H197" s="1" t="n">
        <f aca="false">IF(cleaned_data!C194="North",1,0)</f>
        <v>0</v>
      </c>
      <c r="I197" s="1" t="n">
        <f aca="false">IF(cleaned_data!C194="South",1,0)</f>
        <v>0</v>
      </c>
      <c r="J197" s="1" t="n">
        <f aca="false">IF(cleaned_data!C194="West",1,0)</f>
        <v>1</v>
      </c>
    </row>
    <row r="198" customFormat="false" ht="15" hidden="false" customHeight="true" outlineLevel="0" collapsed="false">
      <c r="A198" s="1" t="str">
        <f aca="false">cleaned_data!A195</f>
        <v>STR-1049</v>
      </c>
      <c r="B198" s="3" t="n">
        <f aca="false">cleaned_data!B195</f>
        <v>45689</v>
      </c>
      <c r="C198" s="1" t="str">
        <f aca="false">cleaned_data!D195</f>
        <v>Residential</v>
      </c>
      <c r="D198" s="1" t="str">
        <f aca="false">cleaned_data!C195</f>
        <v>West</v>
      </c>
      <c r="E198" s="1" t="n">
        <f aca="false">IF(cleaned_data!D195="Mall",1,0)</f>
        <v>0</v>
      </c>
      <c r="F198" s="1" t="n">
        <f aca="false">IF(cleaned_data!D195="Residential",1,0)</f>
        <v>1</v>
      </c>
      <c r="G198" s="1" t="n">
        <f aca="false">IF(cleaned_data!D195="Airport",1,0)</f>
        <v>0</v>
      </c>
      <c r="H198" s="1" t="n">
        <f aca="false">IF(cleaned_data!C195="North",1,0)</f>
        <v>0</v>
      </c>
      <c r="I198" s="1" t="n">
        <f aca="false">IF(cleaned_data!C195="South",1,0)</f>
        <v>0</v>
      </c>
      <c r="J198" s="1" t="n">
        <f aca="false">IF(cleaned_data!C195="West",1,0)</f>
        <v>1</v>
      </c>
    </row>
    <row r="199" customFormat="false" ht="15" hidden="false" customHeight="true" outlineLevel="0" collapsed="false">
      <c r="A199" s="1" t="str">
        <f aca="false">cleaned_data!A196</f>
        <v>STR-1049</v>
      </c>
      <c r="B199" s="3" t="n">
        <f aca="false">cleaned_data!B196</f>
        <v>45717</v>
      </c>
      <c r="C199" s="1" t="str">
        <f aca="false">cleaned_data!D196</f>
        <v>Residential</v>
      </c>
      <c r="D199" s="1" t="str">
        <f aca="false">cleaned_data!C196</f>
        <v>West</v>
      </c>
      <c r="E199" s="1" t="n">
        <f aca="false">IF(cleaned_data!D196="Mall",1,0)</f>
        <v>0</v>
      </c>
      <c r="F199" s="1" t="n">
        <f aca="false">IF(cleaned_data!D196="Residential",1,0)</f>
        <v>1</v>
      </c>
      <c r="G199" s="1" t="n">
        <f aca="false">IF(cleaned_data!D196="Airport",1,0)</f>
        <v>0</v>
      </c>
      <c r="H199" s="1" t="n">
        <f aca="false">IF(cleaned_data!C196="North",1,0)</f>
        <v>0</v>
      </c>
      <c r="I199" s="1" t="n">
        <f aca="false">IF(cleaned_data!C196="South",1,0)</f>
        <v>0</v>
      </c>
      <c r="J199" s="1" t="n">
        <f aca="false">IF(cleaned_data!C196="West",1,0)</f>
        <v>1</v>
      </c>
    </row>
    <row r="200" customFormat="false" ht="15" hidden="false" customHeight="true" outlineLevel="0" collapsed="false">
      <c r="A200" s="1" t="str">
        <f aca="false">cleaned_data!A197</f>
        <v>STR-1049</v>
      </c>
      <c r="B200" s="3" t="n">
        <f aca="false">cleaned_data!B197</f>
        <v>45748</v>
      </c>
      <c r="C200" s="1" t="str">
        <f aca="false">cleaned_data!D197</f>
        <v>Residential</v>
      </c>
      <c r="D200" s="1" t="str">
        <f aca="false">cleaned_data!C197</f>
        <v>West</v>
      </c>
      <c r="E200" s="1" t="n">
        <f aca="false">IF(cleaned_data!D197="Mall",1,0)</f>
        <v>0</v>
      </c>
      <c r="F200" s="1" t="n">
        <f aca="false">IF(cleaned_data!D197="Residential",1,0)</f>
        <v>1</v>
      </c>
      <c r="G200" s="1" t="n">
        <f aca="false">IF(cleaned_data!D197="Airport",1,0)</f>
        <v>0</v>
      </c>
      <c r="H200" s="1" t="n">
        <f aca="false">IF(cleaned_data!C197="North",1,0)</f>
        <v>0</v>
      </c>
      <c r="I200" s="1" t="n">
        <f aca="false">IF(cleaned_data!C197="South",1,0)</f>
        <v>0</v>
      </c>
      <c r="J200" s="1" t="n">
        <f aca="false">IF(cleaned_data!C197="West",1,0)</f>
        <v>1</v>
      </c>
    </row>
    <row r="201" customFormat="false" ht="15" hidden="false" customHeight="true" outlineLevel="0" collapsed="false">
      <c r="A201" s="1" t="str">
        <f aca="false">cleaned_data!A198</f>
        <v>STR-1050</v>
      </c>
      <c r="B201" s="3" t="n">
        <f aca="false">cleaned_data!B198</f>
        <v>45658</v>
      </c>
      <c r="C201" s="1" t="str">
        <f aca="false">cleaned_data!D198</f>
        <v>Residential</v>
      </c>
      <c r="D201" s="1" t="str">
        <f aca="false">cleaned_data!C198</f>
        <v>North</v>
      </c>
      <c r="E201" s="1" t="n">
        <f aca="false">IF(cleaned_data!D198="Mall",1,0)</f>
        <v>0</v>
      </c>
      <c r="F201" s="1" t="n">
        <f aca="false">IF(cleaned_data!D198="Residential",1,0)</f>
        <v>1</v>
      </c>
      <c r="G201" s="1" t="n">
        <f aca="false">IF(cleaned_data!D198="Airport",1,0)</f>
        <v>0</v>
      </c>
      <c r="H201" s="1" t="n">
        <f aca="false">IF(cleaned_data!C198="North",1,0)</f>
        <v>1</v>
      </c>
      <c r="I201" s="1" t="n">
        <f aca="false">IF(cleaned_data!C198="South",1,0)</f>
        <v>0</v>
      </c>
      <c r="J201" s="1" t="n">
        <f aca="false">IF(cleaned_data!C198="West",1,0)</f>
        <v>0</v>
      </c>
    </row>
    <row r="202" customFormat="false" ht="15" hidden="false" customHeight="true" outlineLevel="0" collapsed="false">
      <c r="A202" s="1" t="str">
        <f aca="false">cleaned_data!A199</f>
        <v>STR-1050</v>
      </c>
      <c r="B202" s="3" t="n">
        <f aca="false">cleaned_data!B199</f>
        <v>45689</v>
      </c>
      <c r="C202" s="1" t="str">
        <f aca="false">cleaned_data!D199</f>
        <v>Residential</v>
      </c>
      <c r="D202" s="1" t="str">
        <f aca="false">cleaned_data!C199</f>
        <v>North</v>
      </c>
      <c r="E202" s="1" t="n">
        <f aca="false">IF(cleaned_data!D199="Mall",1,0)</f>
        <v>0</v>
      </c>
      <c r="F202" s="1" t="n">
        <f aca="false">IF(cleaned_data!D199="Residential",1,0)</f>
        <v>1</v>
      </c>
      <c r="G202" s="1" t="n">
        <f aca="false">IF(cleaned_data!D199="Airport",1,0)</f>
        <v>0</v>
      </c>
      <c r="H202" s="1" t="n">
        <f aca="false">IF(cleaned_data!C199="North",1,0)</f>
        <v>1</v>
      </c>
      <c r="I202" s="1" t="n">
        <f aca="false">IF(cleaned_data!C199="South",1,0)</f>
        <v>0</v>
      </c>
      <c r="J202" s="1" t="n">
        <f aca="false">IF(cleaned_data!C199="West",1,0)</f>
        <v>0</v>
      </c>
    </row>
    <row r="203" customFormat="false" ht="15" hidden="false" customHeight="true" outlineLevel="0" collapsed="false">
      <c r="A203" s="1" t="str">
        <f aca="false">cleaned_data!A200</f>
        <v>STR-1050</v>
      </c>
      <c r="B203" s="3" t="n">
        <f aca="false">cleaned_data!B200</f>
        <v>45717</v>
      </c>
      <c r="C203" s="1" t="str">
        <f aca="false">cleaned_data!D200</f>
        <v>Residential</v>
      </c>
      <c r="D203" s="1" t="str">
        <f aca="false">cleaned_data!C200</f>
        <v>North</v>
      </c>
      <c r="E203" s="1" t="n">
        <f aca="false">IF(cleaned_data!D200="Mall",1,0)</f>
        <v>0</v>
      </c>
      <c r="F203" s="1" t="n">
        <f aca="false">IF(cleaned_data!D200="Residential",1,0)</f>
        <v>1</v>
      </c>
      <c r="G203" s="1" t="n">
        <f aca="false">IF(cleaned_data!D200="Airport",1,0)</f>
        <v>0</v>
      </c>
      <c r="H203" s="1" t="n">
        <f aca="false">IF(cleaned_data!C200="North",1,0)</f>
        <v>1</v>
      </c>
      <c r="I203" s="1" t="n">
        <f aca="false">IF(cleaned_data!C200="South",1,0)</f>
        <v>0</v>
      </c>
      <c r="J203" s="1" t="n">
        <f aca="false">IF(cleaned_data!C200="West",1,0)</f>
        <v>0</v>
      </c>
    </row>
    <row r="204" customFormat="false" ht="15" hidden="false" customHeight="true" outlineLevel="0" collapsed="false">
      <c r="A204" s="1" t="str">
        <f aca="false">cleaned_data!A201</f>
        <v>STR-1050</v>
      </c>
      <c r="B204" s="3" t="n">
        <f aca="false">cleaned_data!B201</f>
        <v>45748</v>
      </c>
      <c r="C204" s="1" t="str">
        <f aca="false">cleaned_data!D201</f>
        <v>Residential</v>
      </c>
      <c r="D204" s="1" t="str">
        <f aca="false">cleaned_data!C201</f>
        <v>North</v>
      </c>
      <c r="E204" s="1" t="n">
        <f aca="false">IF(cleaned_data!D201="Mall",1,0)</f>
        <v>0</v>
      </c>
      <c r="F204" s="1" t="n">
        <f aca="false">IF(cleaned_data!D201="Residential",1,0)</f>
        <v>1</v>
      </c>
      <c r="G204" s="1" t="n">
        <f aca="false">IF(cleaned_data!D201="Airport",1,0)</f>
        <v>0</v>
      </c>
      <c r="H204" s="1" t="n">
        <f aca="false">IF(cleaned_data!C201="North",1,0)</f>
        <v>1</v>
      </c>
      <c r="I204" s="1" t="n">
        <f aca="false">IF(cleaned_data!C201="South",1,0)</f>
        <v>0</v>
      </c>
      <c r="J204" s="1" t="n">
        <f aca="false">IF(cleaned_data!C201="West",1,0)</f>
        <v>0</v>
      </c>
    </row>
    <row r="205" customFormat="false" ht="15" hidden="false" customHeight="true" outlineLevel="0" collapsed="false">
      <c r="A205" s="1" t="str">
        <f aca="false">cleaned_data!A202</f>
        <v>STR-1051</v>
      </c>
      <c r="B205" s="3" t="n">
        <f aca="false">cleaned_data!B202</f>
        <v>45658</v>
      </c>
      <c r="C205" s="1" t="str">
        <f aca="false">cleaned_data!D202</f>
        <v>Airport</v>
      </c>
      <c r="D205" s="1" t="str">
        <f aca="false">cleaned_data!C202</f>
        <v>East</v>
      </c>
      <c r="E205" s="1" t="n">
        <f aca="false">IF(cleaned_data!D202="Mall",1,0)</f>
        <v>0</v>
      </c>
      <c r="F205" s="1" t="n">
        <f aca="false">IF(cleaned_data!D202="Residential",1,0)</f>
        <v>0</v>
      </c>
      <c r="G205" s="1" t="n">
        <f aca="false">IF(cleaned_data!D202="Airport",1,0)</f>
        <v>1</v>
      </c>
      <c r="H205" s="1" t="n">
        <f aca="false">IF(cleaned_data!C202="North",1,0)</f>
        <v>0</v>
      </c>
      <c r="I205" s="1" t="n">
        <f aca="false">IF(cleaned_data!C202="South",1,0)</f>
        <v>0</v>
      </c>
      <c r="J205" s="1" t="n">
        <f aca="false">IF(cleaned_data!C202="West",1,0)</f>
        <v>0</v>
      </c>
    </row>
    <row r="206" customFormat="false" ht="15" hidden="false" customHeight="true" outlineLevel="0" collapsed="false">
      <c r="A206" s="1" t="str">
        <f aca="false">cleaned_data!A203</f>
        <v>STR-1051</v>
      </c>
      <c r="B206" s="3" t="n">
        <f aca="false">cleaned_data!B203</f>
        <v>45689</v>
      </c>
      <c r="C206" s="1" t="str">
        <f aca="false">cleaned_data!D203</f>
        <v>Airport</v>
      </c>
      <c r="D206" s="1" t="str">
        <f aca="false">cleaned_data!C203</f>
        <v>East</v>
      </c>
      <c r="E206" s="1" t="n">
        <f aca="false">IF(cleaned_data!D203="Mall",1,0)</f>
        <v>0</v>
      </c>
      <c r="F206" s="1" t="n">
        <f aca="false">IF(cleaned_data!D203="Residential",1,0)</f>
        <v>0</v>
      </c>
      <c r="G206" s="1" t="n">
        <f aca="false">IF(cleaned_data!D203="Airport",1,0)</f>
        <v>1</v>
      </c>
      <c r="H206" s="1" t="n">
        <f aca="false">IF(cleaned_data!C203="North",1,0)</f>
        <v>0</v>
      </c>
      <c r="I206" s="1" t="n">
        <f aca="false">IF(cleaned_data!C203="South",1,0)</f>
        <v>0</v>
      </c>
      <c r="J206" s="1" t="n">
        <f aca="false">IF(cleaned_data!C203="West",1,0)</f>
        <v>0</v>
      </c>
    </row>
    <row r="207" customFormat="false" ht="15" hidden="false" customHeight="true" outlineLevel="0" collapsed="false">
      <c r="A207" s="1" t="str">
        <f aca="false">cleaned_data!A204</f>
        <v>STR-1051</v>
      </c>
      <c r="B207" s="3" t="n">
        <f aca="false">cleaned_data!B204</f>
        <v>45717</v>
      </c>
      <c r="C207" s="1" t="str">
        <f aca="false">cleaned_data!D204</f>
        <v>Airport</v>
      </c>
      <c r="D207" s="1" t="str">
        <f aca="false">cleaned_data!C204</f>
        <v>East</v>
      </c>
      <c r="E207" s="1" t="n">
        <f aca="false">IF(cleaned_data!D204="Mall",1,0)</f>
        <v>0</v>
      </c>
      <c r="F207" s="1" t="n">
        <f aca="false">IF(cleaned_data!D204="Residential",1,0)</f>
        <v>0</v>
      </c>
      <c r="G207" s="1" t="n">
        <f aca="false">IF(cleaned_data!D204="Airport",1,0)</f>
        <v>1</v>
      </c>
      <c r="H207" s="1" t="n">
        <f aca="false">IF(cleaned_data!C204="North",1,0)</f>
        <v>0</v>
      </c>
      <c r="I207" s="1" t="n">
        <f aca="false">IF(cleaned_data!C204="South",1,0)</f>
        <v>0</v>
      </c>
      <c r="J207" s="1" t="n">
        <f aca="false">IF(cleaned_data!C204="West",1,0)</f>
        <v>0</v>
      </c>
    </row>
    <row r="208" customFormat="false" ht="15" hidden="false" customHeight="true" outlineLevel="0" collapsed="false">
      <c r="A208" s="1" t="str">
        <f aca="false">cleaned_data!A205</f>
        <v>STR-1051</v>
      </c>
      <c r="B208" s="3" t="n">
        <f aca="false">cleaned_data!B205</f>
        <v>45748</v>
      </c>
      <c r="C208" s="1" t="str">
        <f aca="false">cleaned_data!D205</f>
        <v>Airport</v>
      </c>
      <c r="D208" s="1" t="str">
        <f aca="false">cleaned_data!C205</f>
        <v>East</v>
      </c>
      <c r="E208" s="1" t="n">
        <f aca="false">IF(cleaned_data!D205="Mall",1,0)</f>
        <v>0</v>
      </c>
      <c r="F208" s="1" t="n">
        <f aca="false">IF(cleaned_data!D205="Residential",1,0)</f>
        <v>0</v>
      </c>
      <c r="G208" s="1" t="n">
        <f aca="false">IF(cleaned_data!D205="Airport",1,0)</f>
        <v>1</v>
      </c>
      <c r="H208" s="1" t="n">
        <f aca="false">IF(cleaned_data!C205="North",1,0)</f>
        <v>0</v>
      </c>
      <c r="I208" s="1" t="n">
        <f aca="false">IF(cleaned_data!C205="South",1,0)</f>
        <v>0</v>
      </c>
      <c r="J208" s="1" t="n">
        <f aca="false">IF(cleaned_data!C205="West",1,0)</f>
        <v>0</v>
      </c>
    </row>
    <row r="209" customFormat="false" ht="15" hidden="false" customHeight="true" outlineLevel="0" collapsed="false">
      <c r="A209" s="1" t="str">
        <f aca="false">cleaned_data!A206</f>
        <v>STR-1052</v>
      </c>
      <c r="B209" s="3" t="n">
        <f aca="false">cleaned_data!B206</f>
        <v>45658</v>
      </c>
      <c r="C209" s="1" t="str">
        <f aca="false">cleaned_data!D206</f>
        <v>Mall</v>
      </c>
      <c r="D209" s="1" t="str">
        <f aca="false">cleaned_data!C206</f>
        <v>East</v>
      </c>
      <c r="E209" s="1" t="n">
        <f aca="false">IF(cleaned_data!D206="Mall",1,0)</f>
        <v>1</v>
      </c>
      <c r="F209" s="1" t="n">
        <f aca="false">IF(cleaned_data!D206="Residential",1,0)</f>
        <v>0</v>
      </c>
      <c r="G209" s="1" t="n">
        <f aca="false">IF(cleaned_data!D206="Airport",1,0)</f>
        <v>0</v>
      </c>
      <c r="H209" s="1" t="n">
        <f aca="false">IF(cleaned_data!C206="North",1,0)</f>
        <v>0</v>
      </c>
      <c r="I209" s="1" t="n">
        <f aca="false">IF(cleaned_data!C206="South",1,0)</f>
        <v>0</v>
      </c>
      <c r="J209" s="1" t="n">
        <f aca="false">IF(cleaned_data!C206="West",1,0)</f>
        <v>0</v>
      </c>
    </row>
    <row r="210" customFormat="false" ht="15" hidden="false" customHeight="true" outlineLevel="0" collapsed="false">
      <c r="A210" s="1" t="str">
        <f aca="false">cleaned_data!A207</f>
        <v>STR-1052</v>
      </c>
      <c r="B210" s="3" t="n">
        <f aca="false">cleaned_data!B207</f>
        <v>45689</v>
      </c>
      <c r="C210" s="1" t="str">
        <f aca="false">cleaned_data!D207</f>
        <v>Mall</v>
      </c>
      <c r="D210" s="1" t="str">
        <f aca="false">cleaned_data!C207</f>
        <v>East</v>
      </c>
      <c r="E210" s="1" t="n">
        <f aca="false">IF(cleaned_data!D207="Mall",1,0)</f>
        <v>1</v>
      </c>
      <c r="F210" s="1" t="n">
        <f aca="false">IF(cleaned_data!D207="Residential",1,0)</f>
        <v>0</v>
      </c>
      <c r="G210" s="1" t="n">
        <f aca="false">IF(cleaned_data!D207="Airport",1,0)</f>
        <v>0</v>
      </c>
      <c r="H210" s="1" t="n">
        <f aca="false">IF(cleaned_data!C207="North",1,0)</f>
        <v>0</v>
      </c>
      <c r="I210" s="1" t="n">
        <f aca="false">IF(cleaned_data!C207="South",1,0)</f>
        <v>0</v>
      </c>
      <c r="J210" s="1" t="n">
        <f aca="false">IF(cleaned_data!C207="West",1,0)</f>
        <v>0</v>
      </c>
    </row>
    <row r="211" customFormat="false" ht="15" hidden="false" customHeight="true" outlineLevel="0" collapsed="false">
      <c r="A211" s="1" t="str">
        <f aca="false">cleaned_data!A208</f>
        <v>STR-1052</v>
      </c>
      <c r="B211" s="3" t="n">
        <f aca="false">cleaned_data!B208</f>
        <v>45717</v>
      </c>
      <c r="C211" s="1" t="str">
        <f aca="false">cleaned_data!D208</f>
        <v>Mall</v>
      </c>
      <c r="D211" s="1" t="str">
        <f aca="false">cleaned_data!C208</f>
        <v>East</v>
      </c>
      <c r="E211" s="1" t="n">
        <f aca="false">IF(cleaned_data!D208="Mall",1,0)</f>
        <v>1</v>
      </c>
      <c r="F211" s="1" t="n">
        <f aca="false">IF(cleaned_data!D208="Residential",1,0)</f>
        <v>0</v>
      </c>
      <c r="G211" s="1" t="n">
        <f aca="false">IF(cleaned_data!D208="Airport",1,0)</f>
        <v>0</v>
      </c>
      <c r="H211" s="1" t="n">
        <f aca="false">IF(cleaned_data!C208="North",1,0)</f>
        <v>0</v>
      </c>
      <c r="I211" s="1" t="n">
        <f aca="false">IF(cleaned_data!C208="South",1,0)</f>
        <v>0</v>
      </c>
      <c r="J211" s="1" t="n">
        <f aca="false">IF(cleaned_data!C208="West",1,0)</f>
        <v>0</v>
      </c>
    </row>
    <row r="212" customFormat="false" ht="15" hidden="false" customHeight="true" outlineLevel="0" collapsed="false">
      <c r="A212" s="1" t="str">
        <f aca="false">cleaned_data!A209</f>
        <v>STR-1052</v>
      </c>
      <c r="B212" s="3" t="n">
        <f aca="false">cleaned_data!B209</f>
        <v>45748</v>
      </c>
      <c r="C212" s="1" t="str">
        <f aca="false">cleaned_data!D209</f>
        <v>Mall</v>
      </c>
      <c r="D212" s="1" t="str">
        <f aca="false">cleaned_data!C209</f>
        <v>East</v>
      </c>
      <c r="E212" s="1" t="n">
        <f aca="false">IF(cleaned_data!D209="Mall",1,0)</f>
        <v>1</v>
      </c>
      <c r="F212" s="1" t="n">
        <f aca="false">IF(cleaned_data!D209="Residential",1,0)</f>
        <v>0</v>
      </c>
      <c r="G212" s="1" t="n">
        <f aca="false">IF(cleaned_data!D209="Airport",1,0)</f>
        <v>0</v>
      </c>
      <c r="H212" s="1" t="n">
        <f aca="false">IF(cleaned_data!C209="North",1,0)</f>
        <v>0</v>
      </c>
      <c r="I212" s="1" t="n">
        <f aca="false">IF(cleaned_data!C209="South",1,0)</f>
        <v>0</v>
      </c>
      <c r="J212" s="1" t="n">
        <f aca="false">IF(cleaned_data!C209="West",1,0)</f>
        <v>0</v>
      </c>
    </row>
    <row r="213" customFormat="false" ht="15" hidden="false" customHeight="true" outlineLevel="0" collapsed="false">
      <c r="A213" s="1" t="str">
        <f aca="false">cleaned_data!A210</f>
        <v>STR-1053</v>
      </c>
      <c r="B213" s="3" t="n">
        <f aca="false">cleaned_data!B210</f>
        <v>45658</v>
      </c>
      <c r="C213" s="1" t="str">
        <f aca="false">cleaned_data!D210</f>
        <v>High Street</v>
      </c>
      <c r="D213" s="1" t="str">
        <f aca="false">cleaned_data!C210</f>
        <v>East</v>
      </c>
      <c r="E213" s="1" t="n">
        <f aca="false">IF(cleaned_data!D210="Mall",1,0)</f>
        <v>0</v>
      </c>
      <c r="F213" s="1" t="n">
        <f aca="false">IF(cleaned_data!D210="Residential",1,0)</f>
        <v>0</v>
      </c>
      <c r="G213" s="1" t="n">
        <f aca="false">IF(cleaned_data!D210="Airport",1,0)</f>
        <v>0</v>
      </c>
      <c r="H213" s="1" t="n">
        <f aca="false">IF(cleaned_data!C210="North",1,0)</f>
        <v>0</v>
      </c>
      <c r="I213" s="1" t="n">
        <f aca="false">IF(cleaned_data!C210="South",1,0)</f>
        <v>0</v>
      </c>
      <c r="J213" s="1" t="n">
        <f aca="false">IF(cleaned_data!C210="West",1,0)</f>
        <v>0</v>
      </c>
    </row>
    <row r="214" customFormat="false" ht="15" hidden="false" customHeight="true" outlineLevel="0" collapsed="false">
      <c r="A214" s="1" t="str">
        <f aca="false">cleaned_data!A211</f>
        <v>STR-1053</v>
      </c>
      <c r="B214" s="3" t="n">
        <f aca="false">cleaned_data!B211</f>
        <v>45689</v>
      </c>
      <c r="C214" s="1" t="str">
        <f aca="false">cleaned_data!D211</f>
        <v>High Street</v>
      </c>
      <c r="D214" s="1" t="str">
        <f aca="false">cleaned_data!C211</f>
        <v>East</v>
      </c>
      <c r="E214" s="1" t="n">
        <f aca="false">IF(cleaned_data!D211="Mall",1,0)</f>
        <v>0</v>
      </c>
      <c r="F214" s="1" t="n">
        <f aca="false">IF(cleaned_data!D211="Residential",1,0)</f>
        <v>0</v>
      </c>
      <c r="G214" s="1" t="n">
        <f aca="false">IF(cleaned_data!D211="Airport",1,0)</f>
        <v>0</v>
      </c>
      <c r="H214" s="1" t="n">
        <f aca="false">IF(cleaned_data!C211="North",1,0)</f>
        <v>0</v>
      </c>
      <c r="I214" s="1" t="n">
        <f aca="false">IF(cleaned_data!C211="South",1,0)</f>
        <v>0</v>
      </c>
      <c r="J214" s="1" t="n">
        <f aca="false">IF(cleaned_data!C211="West",1,0)</f>
        <v>0</v>
      </c>
    </row>
    <row r="215" customFormat="false" ht="15" hidden="false" customHeight="true" outlineLevel="0" collapsed="false">
      <c r="A215" s="1" t="str">
        <f aca="false">cleaned_data!A212</f>
        <v>STR-1053</v>
      </c>
      <c r="B215" s="3" t="n">
        <f aca="false">cleaned_data!B212</f>
        <v>45717</v>
      </c>
      <c r="C215" s="1" t="str">
        <f aca="false">cleaned_data!D212</f>
        <v>High Street</v>
      </c>
      <c r="D215" s="1" t="str">
        <f aca="false">cleaned_data!C212</f>
        <v>East</v>
      </c>
      <c r="E215" s="1" t="n">
        <f aca="false">IF(cleaned_data!D212="Mall",1,0)</f>
        <v>0</v>
      </c>
      <c r="F215" s="1" t="n">
        <f aca="false">IF(cleaned_data!D212="Residential",1,0)</f>
        <v>0</v>
      </c>
      <c r="G215" s="1" t="n">
        <f aca="false">IF(cleaned_data!D212="Airport",1,0)</f>
        <v>0</v>
      </c>
      <c r="H215" s="1" t="n">
        <f aca="false">IF(cleaned_data!C212="North",1,0)</f>
        <v>0</v>
      </c>
      <c r="I215" s="1" t="n">
        <f aca="false">IF(cleaned_data!C212="South",1,0)</f>
        <v>0</v>
      </c>
      <c r="J215" s="1" t="n">
        <f aca="false">IF(cleaned_data!C212="West",1,0)</f>
        <v>0</v>
      </c>
    </row>
    <row r="216" customFormat="false" ht="15" hidden="false" customHeight="true" outlineLevel="0" collapsed="false">
      <c r="A216" s="1" t="str">
        <f aca="false">cleaned_data!A213</f>
        <v>STR-1053</v>
      </c>
      <c r="B216" s="3" t="n">
        <f aca="false">cleaned_data!B213</f>
        <v>45748</v>
      </c>
      <c r="C216" s="1" t="str">
        <f aca="false">cleaned_data!D213</f>
        <v>High Street</v>
      </c>
      <c r="D216" s="1" t="str">
        <f aca="false">cleaned_data!C213</f>
        <v>East</v>
      </c>
      <c r="E216" s="1" t="n">
        <f aca="false">IF(cleaned_data!D213="Mall",1,0)</f>
        <v>0</v>
      </c>
      <c r="F216" s="1" t="n">
        <f aca="false">IF(cleaned_data!D213="Residential",1,0)</f>
        <v>0</v>
      </c>
      <c r="G216" s="1" t="n">
        <f aca="false">IF(cleaned_data!D213="Airport",1,0)</f>
        <v>0</v>
      </c>
      <c r="H216" s="1" t="n">
        <f aca="false">IF(cleaned_data!C213="North",1,0)</f>
        <v>0</v>
      </c>
      <c r="I216" s="1" t="n">
        <f aca="false">IF(cleaned_data!C213="South",1,0)</f>
        <v>0</v>
      </c>
      <c r="J216" s="1" t="n">
        <f aca="false">IF(cleaned_data!C213="West",1,0)</f>
        <v>0</v>
      </c>
    </row>
    <row r="217" customFormat="false" ht="15" hidden="false" customHeight="true" outlineLevel="0" collapsed="false">
      <c r="A217" s="1" t="str">
        <f aca="false">cleaned_data!A214</f>
        <v>STR-1054</v>
      </c>
      <c r="B217" s="3" t="n">
        <f aca="false">cleaned_data!B214</f>
        <v>45658</v>
      </c>
      <c r="C217" s="1" t="str">
        <f aca="false">cleaned_data!D214</f>
        <v>Residential</v>
      </c>
      <c r="D217" s="1" t="str">
        <f aca="false">cleaned_data!C214</f>
        <v>West</v>
      </c>
      <c r="E217" s="1" t="n">
        <f aca="false">IF(cleaned_data!D214="Mall",1,0)</f>
        <v>0</v>
      </c>
      <c r="F217" s="1" t="n">
        <f aca="false">IF(cleaned_data!D214="Residential",1,0)</f>
        <v>1</v>
      </c>
      <c r="G217" s="1" t="n">
        <f aca="false">IF(cleaned_data!D214="Airport",1,0)</f>
        <v>0</v>
      </c>
      <c r="H217" s="1" t="n">
        <f aca="false">IF(cleaned_data!C214="North",1,0)</f>
        <v>0</v>
      </c>
      <c r="I217" s="1" t="n">
        <f aca="false">IF(cleaned_data!C214="South",1,0)</f>
        <v>0</v>
      </c>
      <c r="J217" s="1" t="n">
        <f aca="false">IF(cleaned_data!C214="West",1,0)</f>
        <v>1</v>
      </c>
    </row>
    <row r="218" customFormat="false" ht="15" hidden="false" customHeight="true" outlineLevel="0" collapsed="false">
      <c r="A218" s="1" t="str">
        <f aca="false">cleaned_data!A215</f>
        <v>STR-1054</v>
      </c>
      <c r="B218" s="3" t="n">
        <f aca="false">cleaned_data!B215</f>
        <v>45689</v>
      </c>
      <c r="C218" s="1" t="str">
        <f aca="false">cleaned_data!D215</f>
        <v>Residential</v>
      </c>
      <c r="D218" s="1" t="str">
        <f aca="false">cleaned_data!C215</f>
        <v>West</v>
      </c>
      <c r="E218" s="1" t="n">
        <f aca="false">IF(cleaned_data!D215="Mall",1,0)</f>
        <v>0</v>
      </c>
      <c r="F218" s="1" t="n">
        <f aca="false">IF(cleaned_data!D215="Residential",1,0)</f>
        <v>1</v>
      </c>
      <c r="G218" s="1" t="n">
        <f aca="false">IF(cleaned_data!D215="Airport",1,0)</f>
        <v>0</v>
      </c>
      <c r="H218" s="1" t="n">
        <f aca="false">IF(cleaned_data!C215="North",1,0)</f>
        <v>0</v>
      </c>
      <c r="I218" s="1" t="n">
        <f aca="false">IF(cleaned_data!C215="South",1,0)</f>
        <v>0</v>
      </c>
      <c r="J218" s="1" t="n">
        <f aca="false">IF(cleaned_data!C215="West",1,0)</f>
        <v>1</v>
      </c>
    </row>
    <row r="219" customFormat="false" ht="15" hidden="false" customHeight="true" outlineLevel="0" collapsed="false">
      <c r="A219" s="1" t="str">
        <f aca="false">cleaned_data!A216</f>
        <v>STR-1054</v>
      </c>
      <c r="B219" s="3" t="n">
        <f aca="false">cleaned_data!B216</f>
        <v>45717</v>
      </c>
      <c r="C219" s="1" t="str">
        <f aca="false">cleaned_data!D216</f>
        <v>Residential</v>
      </c>
      <c r="D219" s="1" t="str">
        <f aca="false">cleaned_data!C216</f>
        <v>West</v>
      </c>
      <c r="E219" s="1" t="n">
        <f aca="false">IF(cleaned_data!D216="Mall",1,0)</f>
        <v>0</v>
      </c>
      <c r="F219" s="1" t="n">
        <f aca="false">IF(cleaned_data!D216="Residential",1,0)</f>
        <v>1</v>
      </c>
      <c r="G219" s="1" t="n">
        <f aca="false">IF(cleaned_data!D216="Airport",1,0)</f>
        <v>0</v>
      </c>
      <c r="H219" s="1" t="n">
        <f aca="false">IF(cleaned_data!C216="North",1,0)</f>
        <v>0</v>
      </c>
      <c r="I219" s="1" t="n">
        <f aca="false">IF(cleaned_data!C216="South",1,0)</f>
        <v>0</v>
      </c>
      <c r="J219" s="1" t="n">
        <f aca="false">IF(cleaned_data!C216="West",1,0)</f>
        <v>1</v>
      </c>
    </row>
    <row r="220" customFormat="false" ht="15" hidden="false" customHeight="true" outlineLevel="0" collapsed="false">
      <c r="A220" s="1" t="str">
        <f aca="false">cleaned_data!A217</f>
        <v>STR-1054</v>
      </c>
      <c r="B220" s="3" t="n">
        <f aca="false">cleaned_data!B217</f>
        <v>45748</v>
      </c>
      <c r="C220" s="1" t="str">
        <f aca="false">cleaned_data!D217</f>
        <v>Residential</v>
      </c>
      <c r="D220" s="1" t="str">
        <f aca="false">cleaned_data!C217</f>
        <v>West</v>
      </c>
      <c r="E220" s="1" t="n">
        <f aca="false">IF(cleaned_data!D217="Mall",1,0)</f>
        <v>0</v>
      </c>
      <c r="F220" s="1" t="n">
        <f aca="false">IF(cleaned_data!D217="Residential",1,0)</f>
        <v>1</v>
      </c>
      <c r="G220" s="1" t="n">
        <f aca="false">IF(cleaned_data!D217="Airport",1,0)</f>
        <v>0</v>
      </c>
      <c r="H220" s="1" t="n">
        <f aca="false">IF(cleaned_data!C217="North",1,0)</f>
        <v>0</v>
      </c>
      <c r="I220" s="1" t="n">
        <f aca="false">IF(cleaned_data!C217="South",1,0)</f>
        <v>0</v>
      </c>
      <c r="J220" s="1" t="n">
        <f aca="false">IF(cleaned_data!C217="West",1,0)</f>
        <v>1</v>
      </c>
    </row>
    <row r="221" customFormat="false" ht="15" hidden="false" customHeight="true" outlineLevel="0" collapsed="false">
      <c r="A221" s="1" t="str">
        <f aca="false">cleaned_data!A218</f>
        <v>STR-1055</v>
      </c>
      <c r="B221" s="3" t="n">
        <f aca="false">cleaned_data!B218</f>
        <v>45658</v>
      </c>
      <c r="C221" s="1" t="str">
        <f aca="false">cleaned_data!D218</f>
        <v>Airport</v>
      </c>
      <c r="D221" s="1" t="str">
        <f aca="false">cleaned_data!C218</f>
        <v>North</v>
      </c>
      <c r="E221" s="1" t="n">
        <f aca="false">IF(cleaned_data!D218="Mall",1,0)</f>
        <v>0</v>
      </c>
      <c r="F221" s="1" t="n">
        <f aca="false">IF(cleaned_data!D218="Residential",1,0)</f>
        <v>0</v>
      </c>
      <c r="G221" s="1" t="n">
        <f aca="false">IF(cleaned_data!D218="Airport",1,0)</f>
        <v>1</v>
      </c>
      <c r="H221" s="1" t="n">
        <f aca="false">IF(cleaned_data!C218="North",1,0)</f>
        <v>1</v>
      </c>
      <c r="I221" s="1" t="n">
        <f aca="false">IF(cleaned_data!C218="South",1,0)</f>
        <v>0</v>
      </c>
      <c r="J221" s="1" t="n">
        <f aca="false">IF(cleaned_data!C218="West",1,0)</f>
        <v>0</v>
      </c>
    </row>
    <row r="222" customFormat="false" ht="15" hidden="false" customHeight="true" outlineLevel="0" collapsed="false">
      <c r="A222" s="1" t="str">
        <f aca="false">cleaned_data!A219</f>
        <v>STR-1055</v>
      </c>
      <c r="B222" s="3" t="n">
        <f aca="false">cleaned_data!B219</f>
        <v>45689</v>
      </c>
      <c r="C222" s="1" t="str">
        <f aca="false">cleaned_data!D219</f>
        <v>Airport</v>
      </c>
      <c r="D222" s="1" t="str">
        <f aca="false">cleaned_data!C219</f>
        <v>North</v>
      </c>
      <c r="E222" s="1" t="n">
        <f aca="false">IF(cleaned_data!D219="Mall",1,0)</f>
        <v>0</v>
      </c>
      <c r="F222" s="1" t="n">
        <f aca="false">IF(cleaned_data!D219="Residential",1,0)</f>
        <v>0</v>
      </c>
      <c r="G222" s="1" t="n">
        <f aca="false">IF(cleaned_data!D219="Airport",1,0)</f>
        <v>1</v>
      </c>
      <c r="H222" s="1" t="n">
        <f aca="false">IF(cleaned_data!C219="North",1,0)</f>
        <v>1</v>
      </c>
      <c r="I222" s="1" t="n">
        <f aca="false">IF(cleaned_data!C219="South",1,0)</f>
        <v>0</v>
      </c>
      <c r="J222" s="1" t="n">
        <f aca="false">IF(cleaned_data!C219="West",1,0)</f>
        <v>0</v>
      </c>
    </row>
    <row r="223" customFormat="false" ht="15" hidden="false" customHeight="true" outlineLevel="0" collapsed="false">
      <c r="A223" s="1" t="str">
        <f aca="false">cleaned_data!A220</f>
        <v>STR-1055</v>
      </c>
      <c r="B223" s="3" t="n">
        <f aca="false">cleaned_data!B220</f>
        <v>45717</v>
      </c>
      <c r="C223" s="1" t="str">
        <f aca="false">cleaned_data!D220</f>
        <v>Airport</v>
      </c>
      <c r="D223" s="1" t="str">
        <f aca="false">cleaned_data!C220</f>
        <v>North</v>
      </c>
      <c r="E223" s="1" t="n">
        <f aca="false">IF(cleaned_data!D220="Mall",1,0)</f>
        <v>0</v>
      </c>
      <c r="F223" s="1" t="n">
        <f aca="false">IF(cleaned_data!D220="Residential",1,0)</f>
        <v>0</v>
      </c>
      <c r="G223" s="1" t="n">
        <f aca="false">IF(cleaned_data!D220="Airport",1,0)</f>
        <v>1</v>
      </c>
      <c r="H223" s="1" t="n">
        <f aca="false">IF(cleaned_data!C220="North",1,0)</f>
        <v>1</v>
      </c>
      <c r="I223" s="1" t="n">
        <f aca="false">IF(cleaned_data!C220="South",1,0)</f>
        <v>0</v>
      </c>
      <c r="J223" s="1" t="n">
        <f aca="false">IF(cleaned_data!C220="West",1,0)</f>
        <v>0</v>
      </c>
    </row>
    <row r="224" customFormat="false" ht="15" hidden="false" customHeight="true" outlineLevel="0" collapsed="false">
      <c r="A224" s="1" t="str">
        <f aca="false">cleaned_data!A221</f>
        <v>STR-1055</v>
      </c>
      <c r="B224" s="3" t="n">
        <f aca="false">cleaned_data!B221</f>
        <v>45748</v>
      </c>
      <c r="C224" s="1" t="str">
        <f aca="false">cleaned_data!D221</f>
        <v>Airport</v>
      </c>
      <c r="D224" s="1" t="str">
        <f aca="false">cleaned_data!C221</f>
        <v>North</v>
      </c>
      <c r="E224" s="1" t="n">
        <f aca="false">IF(cleaned_data!D221="Mall",1,0)</f>
        <v>0</v>
      </c>
      <c r="F224" s="1" t="n">
        <f aca="false">IF(cleaned_data!D221="Residential",1,0)</f>
        <v>0</v>
      </c>
      <c r="G224" s="1" t="n">
        <f aca="false">IF(cleaned_data!D221="Airport",1,0)</f>
        <v>1</v>
      </c>
      <c r="H224" s="1" t="n">
        <f aca="false">IF(cleaned_data!C221="North",1,0)</f>
        <v>1</v>
      </c>
      <c r="I224" s="1" t="n">
        <f aca="false">IF(cleaned_data!C221="South",1,0)</f>
        <v>0</v>
      </c>
      <c r="J224" s="1" t="n">
        <f aca="false">IF(cleaned_data!C221="West",1,0)</f>
        <v>0</v>
      </c>
    </row>
    <row r="225" customFormat="false" ht="15" hidden="false" customHeight="true" outlineLevel="0" collapsed="false">
      <c r="A225" s="1" t="str">
        <f aca="false">cleaned_data!A222</f>
        <v>STR-1056</v>
      </c>
      <c r="B225" s="3" t="n">
        <f aca="false">cleaned_data!B222</f>
        <v>45658</v>
      </c>
      <c r="C225" s="1" t="str">
        <f aca="false">cleaned_data!D222</f>
        <v>High Street</v>
      </c>
      <c r="D225" s="1" t="str">
        <f aca="false">cleaned_data!C222</f>
        <v>East</v>
      </c>
      <c r="E225" s="1" t="n">
        <f aca="false">IF(cleaned_data!D222="Mall",1,0)</f>
        <v>0</v>
      </c>
      <c r="F225" s="1" t="n">
        <f aca="false">IF(cleaned_data!D222="Residential",1,0)</f>
        <v>0</v>
      </c>
      <c r="G225" s="1" t="n">
        <f aca="false">IF(cleaned_data!D222="Airport",1,0)</f>
        <v>0</v>
      </c>
      <c r="H225" s="1" t="n">
        <f aca="false">IF(cleaned_data!C222="North",1,0)</f>
        <v>0</v>
      </c>
      <c r="I225" s="1" t="n">
        <f aca="false">IF(cleaned_data!C222="South",1,0)</f>
        <v>0</v>
      </c>
      <c r="J225" s="1" t="n">
        <f aca="false">IF(cleaned_data!C222="West",1,0)</f>
        <v>0</v>
      </c>
    </row>
    <row r="226" customFormat="false" ht="15" hidden="false" customHeight="true" outlineLevel="0" collapsed="false">
      <c r="A226" s="1" t="str">
        <f aca="false">cleaned_data!A223</f>
        <v>STR-1056</v>
      </c>
      <c r="B226" s="3" t="n">
        <f aca="false">cleaned_data!B223</f>
        <v>45689</v>
      </c>
      <c r="C226" s="1" t="str">
        <f aca="false">cleaned_data!D223</f>
        <v>High Street</v>
      </c>
      <c r="D226" s="1" t="str">
        <f aca="false">cleaned_data!C223</f>
        <v>East</v>
      </c>
      <c r="E226" s="1" t="n">
        <f aca="false">IF(cleaned_data!D223="Mall",1,0)</f>
        <v>0</v>
      </c>
      <c r="F226" s="1" t="n">
        <f aca="false">IF(cleaned_data!D223="Residential",1,0)</f>
        <v>0</v>
      </c>
      <c r="G226" s="1" t="n">
        <f aca="false">IF(cleaned_data!D223="Airport",1,0)</f>
        <v>0</v>
      </c>
      <c r="H226" s="1" t="n">
        <f aca="false">IF(cleaned_data!C223="North",1,0)</f>
        <v>0</v>
      </c>
      <c r="I226" s="1" t="n">
        <f aca="false">IF(cleaned_data!C223="South",1,0)</f>
        <v>0</v>
      </c>
      <c r="J226" s="1" t="n">
        <f aca="false">IF(cleaned_data!C223="West",1,0)</f>
        <v>0</v>
      </c>
    </row>
    <row r="227" customFormat="false" ht="15" hidden="false" customHeight="true" outlineLevel="0" collapsed="false">
      <c r="A227" s="1" t="str">
        <f aca="false">cleaned_data!A224</f>
        <v>STR-1056</v>
      </c>
      <c r="B227" s="3" t="n">
        <f aca="false">cleaned_data!B224</f>
        <v>45717</v>
      </c>
      <c r="C227" s="1" t="str">
        <f aca="false">cleaned_data!D224</f>
        <v>High Street</v>
      </c>
      <c r="D227" s="1" t="str">
        <f aca="false">cleaned_data!C224</f>
        <v>East</v>
      </c>
      <c r="E227" s="1" t="n">
        <f aca="false">IF(cleaned_data!D224="Mall",1,0)</f>
        <v>0</v>
      </c>
      <c r="F227" s="1" t="n">
        <f aca="false">IF(cleaned_data!D224="Residential",1,0)</f>
        <v>0</v>
      </c>
      <c r="G227" s="1" t="n">
        <f aca="false">IF(cleaned_data!D224="Airport",1,0)</f>
        <v>0</v>
      </c>
      <c r="H227" s="1" t="n">
        <f aca="false">IF(cleaned_data!C224="North",1,0)</f>
        <v>0</v>
      </c>
      <c r="I227" s="1" t="n">
        <f aca="false">IF(cleaned_data!C224="South",1,0)</f>
        <v>0</v>
      </c>
      <c r="J227" s="1" t="n">
        <f aca="false">IF(cleaned_data!C224="West",1,0)</f>
        <v>0</v>
      </c>
    </row>
    <row r="228" customFormat="false" ht="15" hidden="false" customHeight="true" outlineLevel="0" collapsed="false">
      <c r="A228" s="1" t="str">
        <f aca="false">cleaned_data!A225</f>
        <v>STR-1056</v>
      </c>
      <c r="B228" s="3" t="n">
        <f aca="false">cleaned_data!B225</f>
        <v>45748</v>
      </c>
      <c r="C228" s="1" t="str">
        <f aca="false">cleaned_data!D225</f>
        <v>High Street</v>
      </c>
      <c r="D228" s="1" t="str">
        <f aca="false">cleaned_data!C225</f>
        <v>East</v>
      </c>
      <c r="E228" s="1" t="n">
        <f aca="false">IF(cleaned_data!D225="Mall",1,0)</f>
        <v>0</v>
      </c>
      <c r="F228" s="1" t="n">
        <f aca="false">IF(cleaned_data!D225="Residential",1,0)</f>
        <v>0</v>
      </c>
      <c r="G228" s="1" t="n">
        <f aca="false">IF(cleaned_data!D225="Airport",1,0)</f>
        <v>0</v>
      </c>
      <c r="H228" s="1" t="n">
        <f aca="false">IF(cleaned_data!C225="North",1,0)</f>
        <v>0</v>
      </c>
      <c r="I228" s="1" t="n">
        <f aca="false">IF(cleaned_data!C225="South",1,0)</f>
        <v>0</v>
      </c>
      <c r="J228" s="1" t="n">
        <f aca="false">IF(cleaned_data!C225="West",1,0)</f>
        <v>0</v>
      </c>
    </row>
    <row r="229" customFormat="false" ht="15" hidden="false" customHeight="true" outlineLevel="0" collapsed="false">
      <c r="A229" s="1" t="str">
        <f aca="false">cleaned_data!A226</f>
        <v>STR-1057</v>
      </c>
      <c r="B229" s="3" t="n">
        <f aca="false">cleaned_data!B226</f>
        <v>45658</v>
      </c>
      <c r="C229" s="1" t="str">
        <f aca="false">cleaned_data!D226</f>
        <v>Mall</v>
      </c>
      <c r="D229" s="1" t="str">
        <f aca="false">cleaned_data!C226</f>
        <v>East</v>
      </c>
      <c r="E229" s="1" t="n">
        <f aca="false">IF(cleaned_data!D226="Mall",1,0)</f>
        <v>1</v>
      </c>
      <c r="F229" s="1" t="n">
        <f aca="false">IF(cleaned_data!D226="Residential",1,0)</f>
        <v>0</v>
      </c>
      <c r="G229" s="1" t="n">
        <f aca="false">IF(cleaned_data!D226="Airport",1,0)</f>
        <v>0</v>
      </c>
      <c r="H229" s="1" t="n">
        <f aca="false">IF(cleaned_data!C226="North",1,0)</f>
        <v>0</v>
      </c>
      <c r="I229" s="1" t="n">
        <f aca="false">IF(cleaned_data!C226="South",1,0)</f>
        <v>0</v>
      </c>
      <c r="J229" s="1" t="n">
        <f aca="false">IF(cleaned_data!C226="West",1,0)</f>
        <v>0</v>
      </c>
    </row>
    <row r="230" customFormat="false" ht="15" hidden="false" customHeight="true" outlineLevel="0" collapsed="false">
      <c r="A230" s="1" t="str">
        <f aca="false">cleaned_data!A227</f>
        <v>STR-1057</v>
      </c>
      <c r="B230" s="3" t="n">
        <f aca="false">cleaned_data!B227</f>
        <v>45689</v>
      </c>
      <c r="C230" s="1" t="str">
        <f aca="false">cleaned_data!D227</f>
        <v>Mall</v>
      </c>
      <c r="D230" s="1" t="str">
        <f aca="false">cleaned_data!C227</f>
        <v>East</v>
      </c>
      <c r="E230" s="1" t="n">
        <f aca="false">IF(cleaned_data!D227="Mall",1,0)</f>
        <v>1</v>
      </c>
      <c r="F230" s="1" t="n">
        <f aca="false">IF(cleaned_data!D227="Residential",1,0)</f>
        <v>0</v>
      </c>
      <c r="G230" s="1" t="n">
        <f aca="false">IF(cleaned_data!D227="Airport",1,0)</f>
        <v>0</v>
      </c>
      <c r="H230" s="1" t="n">
        <f aca="false">IF(cleaned_data!C227="North",1,0)</f>
        <v>0</v>
      </c>
      <c r="I230" s="1" t="n">
        <f aca="false">IF(cleaned_data!C227="South",1,0)</f>
        <v>0</v>
      </c>
      <c r="J230" s="1" t="n">
        <f aca="false">IF(cleaned_data!C227="West",1,0)</f>
        <v>0</v>
      </c>
    </row>
    <row r="231" customFormat="false" ht="15" hidden="false" customHeight="true" outlineLevel="0" collapsed="false">
      <c r="A231" s="1" t="str">
        <f aca="false">cleaned_data!A228</f>
        <v>STR-1057</v>
      </c>
      <c r="B231" s="3" t="n">
        <f aca="false">cleaned_data!B228</f>
        <v>45717</v>
      </c>
      <c r="C231" s="1" t="str">
        <f aca="false">cleaned_data!D228</f>
        <v>Mall</v>
      </c>
      <c r="D231" s="1" t="str">
        <f aca="false">cleaned_data!C228</f>
        <v>East</v>
      </c>
      <c r="E231" s="1" t="n">
        <f aca="false">IF(cleaned_data!D228="Mall",1,0)</f>
        <v>1</v>
      </c>
      <c r="F231" s="1" t="n">
        <f aca="false">IF(cleaned_data!D228="Residential",1,0)</f>
        <v>0</v>
      </c>
      <c r="G231" s="1" t="n">
        <f aca="false">IF(cleaned_data!D228="Airport",1,0)</f>
        <v>0</v>
      </c>
      <c r="H231" s="1" t="n">
        <f aca="false">IF(cleaned_data!C228="North",1,0)</f>
        <v>0</v>
      </c>
      <c r="I231" s="1" t="n">
        <f aca="false">IF(cleaned_data!C228="South",1,0)</f>
        <v>0</v>
      </c>
      <c r="J231" s="1" t="n">
        <f aca="false">IF(cleaned_data!C228="West",1,0)</f>
        <v>0</v>
      </c>
    </row>
    <row r="232" customFormat="false" ht="15" hidden="false" customHeight="true" outlineLevel="0" collapsed="false">
      <c r="A232" s="1" t="str">
        <f aca="false">cleaned_data!A229</f>
        <v>STR-1057</v>
      </c>
      <c r="B232" s="3" t="n">
        <f aca="false">cleaned_data!B229</f>
        <v>45748</v>
      </c>
      <c r="C232" s="1" t="str">
        <f aca="false">cleaned_data!D229</f>
        <v>Mall</v>
      </c>
      <c r="D232" s="1" t="str">
        <f aca="false">cleaned_data!C229</f>
        <v>East</v>
      </c>
      <c r="E232" s="1" t="n">
        <f aca="false">IF(cleaned_data!D229="Mall",1,0)</f>
        <v>1</v>
      </c>
      <c r="F232" s="1" t="n">
        <f aca="false">IF(cleaned_data!D229="Residential",1,0)</f>
        <v>0</v>
      </c>
      <c r="G232" s="1" t="n">
        <f aca="false">IF(cleaned_data!D229="Airport",1,0)</f>
        <v>0</v>
      </c>
      <c r="H232" s="1" t="n">
        <f aca="false">IF(cleaned_data!C229="North",1,0)</f>
        <v>0</v>
      </c>
      <c r="I232" s="1" t="n">
        <f aca="false">IF(cleaned_data!C229="South",1,0)</f>
        <v>0</v>
      </c>
      <c r="J232" s="1" t="n">
        <f aca="false">IF(cleaned_data!C229="West",1,0)</f>
        <v>0</v>
      </c>
    </row>
    <row r="233" customFormat="false" ht="15" hidden="false" customHeight="true" outlineLevel="0" collapsed="false">
      <c r="A233" s="1" t="str">
        <f aca="false">cleaned_data!A230</f>
        <v>STR-1058</v>
      </c>
      <c r="B233" s="3" t="n">
        <f aca="false">cleaned_data!B230</f>
        <v>45658</v>
      </c>
      <c r="C233" s="1" t="str">
        <f aca="false">cleaned_data!D230</f>
        <v>High Street</v>
      </c>
      <c r="D233" s="1" t="str">
        <f aca="false">cleaned_data!C230</f>
        <v>East</v>
      </c>
      <c r="E233" s="1" t="n">
        <f aca="false">IF(cleaned_data!D230="Mall",1,0)</f>
        <v>0</v>
      </c>
      <c r="F233" s="1" t="n">
        <f aca="false">IF(cleaned_data!D230="Residential",1,0)</f>
        <v>0</v>
      </c>
      <c r="G233" s="1" t="n">
        <f aca="false">IF(cleaned_data!D230="Airport",1,0)</f>
        <v>0</v>
      </c>
      <c r="H233" s="1" t="n">
        <f aca="false">IF(cleaned_data!C230="North",1,0)</f>
        <v>0</v>
      </c>
      <c r="I233" s="1" t="n">
        <f aca="false">IF(cleaned_data!C230="South",1,0)</f>
        <v>0</v>
      </c>
      <c r="J233" s="1" t="n">
        <f aca="false">IF(cleaned_data!C230="West",1,0)</f>
        <v>0</v>
      </c>
    </row>
    <row r="234" customFormat="false" ht="15" hidden="false" customHeight="true" outlineLevel="0" collapsed="false">
      <c r="A234" s="1" t="str">
        <f aca="false">cleaned_data!A231</f>
        <v>STR-1058</v>
      </c>
      <c r="B234" s="3" t="n">
        <f aca="false">cleaned_data!B231</f>
        <v>45689</v>
      </c>
      <c r="C234" s="1" t="str">
        <f aca="false">cleaned_data!D231</f>
        <v>High Street</v>
      </c>
      <c r="D234" s="1" t="str">
        <f aca="false">cleaned_data!C231</f>
        <v>East</v>
      </c>
      <c r="E234" s="1" t="n">
        <f aca="false">IF(cleaned_data!D231="Mall",1,0)</f>
        <v>0</v>
      </c>
      <c r="F234" s="1" t="n">
        <f aca="false">IF(cleaned_data!D231="Residential",1,0)</f>
        <v>0</v>
      </c>
      <c r="G234" s="1" t="n">
        <f aca="false">IF(cleaned_data!D231="Airport",1,0)</f>
        <v>0</v>
      </c>
      <c r="H234" s="1" t="n">
        <f aca="false">IF(cleaned_data!C231="North",1,0)</f>
        <v>0</v>
      </c>
      <c r="I234" s="1" t="n">
        <f aca="false">IF(cleaned_data!C231="South",1,0)</f>
        <v>0</v>
      </c>
      <c r="J234" s="1" t="n">
        <f aca="false">IF(cleaned_data!C231="West",1,0)</f>
        <v>0</v>
      </c>
    </row>
    <row r="235" customFormat="false" ht="15" hidden="false" customHeight="true" outlineLevel="0" collapsed="false">
      <c r="A235" s="1" t="str">
        <f aca="false">cleaned_data!A232</f>
        <v>STR-1058</v>
      </c>
      <c r="B235" s="3" t="n">
        <f aca="false">cleaned_data!B232</f>
        <v>45717</v>
      </c>
      <c r="C235" s="1" t="str">
        <f aca="false">cleaned_data!D232</f>
        <v>High Street</v>
      </c>
      <c r="D235" s="1" t="str">
        <f aca="false">cleaned_data!C232</f>
        <v>East</v>
      </c>
      <c r="E235" s="1" t="n">
        <f aca="false">IF(cleaned_data!D232="Mall",1,0)</f>
        <v>0</v>
      </c>
      <c r="F235" s="1" t="n">
        <f aca="false">IF(cleaned_data!D232="Residential",1,0)</f>
        <v>0</v>
      </c>
      <c r="G235" s="1" t="n">
        <f aca="false">IF(cleaned_data!D232="Airport",1,0)</f>
        <v>0</v>
      </c>
      <c r="H235" s="1" t="n">
        <f aca="false">IF(cleaned_data!C232="North",1,0)</f>
        <v>0</v>
      </c>
      <c r="I235" s="1" t="n">
        <f aca="false">IF(cleaned_data!C232="South",1,0)</f>
        <v>0</v>
      </c>
      <c r="J235" s="1" t="n">
        <f aca="false">IF(cleaned_data!C232="West",1,0)</f>
        <v>0</v>
      </c>
    </row>
    <row r="236" customFormat="false" ht="15" hidden="false" customHeight="true" outlineLevel="0" collapsed="false">
      <c r="A236" s="1" t="str">
        <f aca="false">cleaned_data!A233</f>
        <v>STR-1058</v>
      </c>
      <c r="B236" s="3" t="n">
        <f aca="false">cleaned_data!B233</f>
        <v>45748</v>
      </c>
      <c r="C236" s="1" t="str">
        <f aca="false">cleaned_data!D233</f>
        <v>High Street</v>
      </c>
      <c r="D236" s="1" t="str">
        <f aca="false">cleaned_data!C233</f>
        <v>East</v>
      </c>
      <c r="E236" s="1" t="n">
        <f aca="false">IF(cleaned_data!D233="Mall",1,0)</f>
        <v>0</v>
      </c>
      <c r="F236" s="1" t="n">
        <f aca="false">IF(cleaned_data!D233="Residential",1,0)</f>
        <v>0</v>
      </c>
      <c r="G236" s="1" t="n">
        <f aca="false">IF(cleaned_data!D233="Airport",1,0)</f>
        <v>0</v>
      </c>
      <c r="H236" s="1" t="n">
        <f aca="false">IF(cleaned_data!C233="North",1,0)</f>
        <v>0</v>
      </c>
      <c r="I236" s="1" t="n">
        <f aca="false">IF(cleaned_data!C233="South",1,0)</f>
        <v>0</v>
      </c>
      <c r="J236" s="1" t="n">
        <f aca="false">IF(cleaned_data!C233="West",1,0)</f>
        <v>0</v>
      </c>
    </row>
    <row r="237" customFormat="false" ht="15" hidden="false" customHeight="true" outlineLevel="0" collapsed="false">
      <c r="A237" s="1" t="str">
        <f aca="false">cleaned_data!A234</f>
        <v>STR-1059</v>
      </c>
      <c r="B237" s="3" t="n">
        <f aca="false">cleaned_data!B234</f>
        <v>45658</v>
      </c>
      <c r="C237" s="1" t="str">
        <f aca="false">cleaned_data!D234</f>
        <v>Residential</v>
      </c>
      <c r="D237" s="1" t="str">
        <f aca="false">cleaned_data!C234</f>
        <v>West</v>
      </c>
      <c r="E237" s="1" t="n">
        <f aca="false">IF(cleaned_data!D234="Mall",1,0)</f>
        <v>0</v>
      </c>
      <c r="F237" s="1" t="n">
        <f aca="false">IF(cleaned_data!D234="Residential",1,0)</f>
        <v>1</v>
      </c>
      <c r="G237" s="1" t="n">
        <f aca="false">IF(cleaned_data!D234="Airport",1,0)</f>
        <v>0</v>
      </c>
      <c r="H237" s="1" t="n">
        <f aca="false">IF(cleaned_data!C234="North",1,0)</f>
        <v>0</v>
      </c>
      <c r="I237" s="1" t="n">
        <f aca="false">IF(cleaned_data!C234="South",1,0)</f>
        <v>0</v>
      </c>
      <c r="J237" s="1" t="n">
        <f aca="false">IF(cleaned_data!C234="West",1,0)</f>
        <v>1</v>
      </c>
    </row>
    <row r="238" customFormat="false" ht="15" hidden="false" customHeight="true" outlineLevel="0" collapsed="false">
      <c r="A238" s="1" t="str">
        <f aca="false">cleaned_data!A235</f>
        <v>STR-1059</v>
      </c>
      <c r="B238" s="3" t="n">
        <f aca="false">cleaned_data!B235</f>
        <v>45689</v>
      </c>
      <c r="C238" s="1" t="str">
        <f aca="false">cleaned_data!D235</f>
        <v>Residential</v>
      </c>
      <c r="D238" s="1" t="str">
        <f aca="false">cleaned_data!C235</f>
        <v>West</v>
      </c>
      <c r="E238" s="1" t="n">
        <f aca="false">IF(cleaned_data!D235="Mall",1,0)</f>
        <v>0</v>
      </c>
      <c r="F238" s="1" t="n">
        <f aca="false">IF(cleaned_data!D235="Residential",1,0)</f>
        <v>1</v>
      </c>
      <c r="G238" s="1" t="n">
        <f aca="false">IF(cleaned_data!D235="Airport",1,0)</f>
        <v>0</v>
      </c>
      <c r="H238" s="1" t="n">
        <f aca="false">IF(cleaned_data!C235="North",1,0)</f>
        <v>0</v>
      </c>
      <c r="I238" s="1" t="n">
        <f aca="false">IF(cleaned_data!C235="South",1,0)</f>
        <v>0</v>
      </c>
      <c r="J238" s="1" t="n">
        <f aca="false">IF(cleaned_data!C235="West",1,0)</f>
        <v>1</v>
      </c>
    </row>
    <row r="239" customFormat="false" ht="15" hidden="false" customHeight="true" outlineLevel="0" collapsed="false">
      <c r="A239" s="1" t="str">
        <f aca="false">cleaned_data!A236</f>
        <v>STR-1059</v>
      </c>
      <c r="B239" s="3" t="n">
        <f aca="false">cleaned_data!B236</f>
        <v>45717</v>
      </c>
      <c r="C239" s="1" t="str">
        <f aca="false">cleaned_data!D236</f>
        <v>Residential</v>
      </c>
      <c r="D239" s="1" t="str">
        <f aca="false">cleaned_data!C236</f>
        <v>West</v>
      </c>
      <c r="E239" s="1" t="n">
        <f aca="false">IF(cleaned_data!D236="Mall",1,0)</f>
        <v>0</v>
      </c>
      <c r="F239" s="1" t="n">
        <f aca="false">IF(cleaned_data!D236="Residential",1,0)</f>
        <v>1</v>
      </c>
      <c r="G239" s="1" t="n">
        <f aca="false">IF(cleaned_data!D236="Airport",1,0)</f>
        <v>0</v>
      </c>
      <c r="H239" s="1" t="n">
        <f aca="false">IF(cleaned_data!C236="North",1,0)</f>
        <v>0</v>
      </c>
      <c r="I239" s="1" t="n">
        <f aca="false">IF(cleaned_data!C236="South",1,0)</f>
        <v>0</v>
      </c>
      <c r="J239" s="1" t="n">
        <f aca="false">IF(cleaned_data!C236="West",1,0)</f>
        <v>1</v>
      </c>
    </row>
    <row r="240" customFormat="false" ht="15" hidden="false" customHeight="true" outlineLevel="0" collapsed="false">
      <c r="A240" s="1" t="str">
        <f aca="false">cleaned_data!A237</f>
        <v>STR-1059</v>
      </c>
      <c r="B240" s="3" t="n">
        <f aca="false">cleaned_data!B237</f>
        <v>45748</v>
      </c>
      <c r="C240" s="1" t="str">
        <f aca="false">cleaned_data!D237</f>
        <v>Residential</v>
      </c>
      <c r="D240" s="1" t="str">
        <f aca="false">cleaned_data!C237</f>
        <v>West</v>
      </c>
      <c r="E240" s="1" t="n">
        <f aca="false">IF(cleaned_data!D237="Mall",1,0)</f>
        <v>0</v>
      </c>
      <c r="F240" s="1" t="n">
        <f aca="false">IF(cleaned_data!D237="Residential",1,0)</f>
        <v>1</v>
      </c>
      <c r="G240" s="1" t="n">
        <f aca="false">IF(cleaned_data!D237="Airport",1,0)</f>
        <v>0</v>
      </c>
      <c r="H240" s="1" t="n">
        <f aca="false">IF(cleaned_data!C237="North",1,0)</f>
        <v>0</v>
      </c>
      <c r="I240" s="1" t="n">
        <f aca="false">IF(cleaned_data!C237="South",1,0)</f>
        <v>0</v>
      </c>
      <c r="J240" s="1" t="n">
        <f aca="false">IF(cleaned_data!C237="West",1,0)</f>
        <v>1</v>
      </c>
    </row>
    <row r="241" customFormat="false" ht="15" hidden="false" customHeight="true" outlineLevel="0" collapsed="false">
      <c r="A241" s="1" t="str">
        <f aca="false">cleaned_data!A238</f>
        <v>STR-1060</v>
      </c>
      <c r="B241" s="3" t="n">
        <f aca="false">cleaned_data!B238</f>
        <v>45658</v>
      </c>
      <c r="C241" s="1" t="str">
        <f aca="false">cleaned_data!D238</f>
        <v>Mall</v>
      </c>
      <c r="D241" s="1" t="str">
        <f aca="false">cleaned_data!C238</f>
        <v>West</v>
      </c>
      <c r="E241" s="1" t="n">
        <f aca="false">IF(cleaned_data!D238="Mall",1,0)</f>
        <v>1</v>
      </c>
      <c r="F241" s="1" t="n">
        <f aca="false">IF(cleaned_data!D238="Residential",1,0)</f>
        <v>0</v>
      </c>
      <c r="G241" s="1" t="n">
        <f aca="false">IF(cleaned_data!D238="Airport",1,0)</f>
        <v>0</v>
      </c>
      <c r="H241" s="1" t="n">
        <f aca="false">IF(cleaned_data!C238="North",1,0)</f>
        <v>0</v>
      </c>
      <c r="I241" s="1" t="n">
        <f aca="false">IF(cleaned_data!C238="South",1,0)</f>
        <v>0</v>
      </c>
      <c r="J241" s="1" t="n">
        <f aca="false">IF(cleaned_data!C238="West",1,0)</f>
        <v>1</v>
      </c>
    </row>
    <row r="242" customFormat="false" ht="15" hidden="false" customHeight="true" outlineLevel="0" collapsed="false">
      <c r="A242" s="1" t="str">
        <f aca="false">cleaned_data!A239</f>
        <v>STR-1060</v>
      </c>
      <c r="B242" s="3" t="n">
        <f aca="false">cleaned_data!B239</f>
        <v>45689</v>
      </c>
      <c r="C242" s="1" t="str">
        <f aca="false">cleaned_data!D239</f>
        <v>Mall</v>
      </c>
      <c r="D242" s="1" t="str">
        <f aca="false">cleaned_data!C239</f>
        <v>West</v>
      </c>
      <c r="E242" s="1" t="n">
        <f aca="false">IF(cleaned_data!D239="Mall",1,0)</f>
        <v>1</v>
      </c>
      <c r="F242" s="1" t="n">
        <f aca="false">IF(cleaned_data!D239="Residential",1,0)</f>
        <v>0</v>
      </c>
      <c r="G242" s="1" t="n">
        <f aca="false">IF(cleaned_data!D239="Airport",1,0)</f>
        <v>0</v>
      </c>
      <c r="H242" s="1" t="n">
        <f aca="false">IF(cleaned_data!C239="North",1,0)</f>
        <v>0</v>
      </c>
      <c r="I242" s="1" t="n">
        <f aca="false">IF(cleaned_data!C239="South",1,0)</f>
        <v>0</v>
      </c>
      <c r="J242" s="1" t="n">
        <f aca="false">IF(cleaned_data!C239="West",1,0)</f>
        <v>1</v>
      </c>
    </row>
    <row r="243" customFormat="false" ht="15" hidden="false" customHeight="true" outlineLevel="0" collapsed="false">
      <c r="A243" s="1" t="str">
        <f aca="false">cleaned_data!A240</f>
        <v>STR-1060</v>
      </c>
      <c r="B243" s="3" t="n">
        <f aca="false">cleaned_data!B240</f>
        <v>45717</v>
      </c>
      <c r="C243" s="1" t="str">
        <f aca="false">cleaned_data!D240</f>
        <v>Mall</v>
      </c>
      <c r="D243" s="1" t="str">
        <f aca="false">cleaned_data!C240</f>
        <v>West</v>
      </c>
      <c r="E243" s="1" t="n">
        <f aca="false">IF(cleaned_data!D240="Mall",1,0)</f>
        <v>1</v>
      </c>
      <c r="F243" s="1" t="n">
        <f aca="false">IF(cleaned_data!D240="Residential",1,0)</f>
        <v>0</v>
      </c>
      <c r="G243" s="1" t="n">
        <f aca="false">IF(cleaned_data!D240="Airport",1,0)</f>
        <v>0</v>
      </c>
      <c r="H243" s="1" t="n">
        <f aca="false">IF(cleaned_data!C240="North",1,0)</f>
        <v>0</v>
      </c>
      <c r="I243" s="1" t="n">
        <f aca="false">IF(cleaned_data!C240="South",1,0)</f>
        <v>0</v>
      </c>
      <c r="J243" s="1" t="n">
        <f aca="false">IF(cleaned_data!C240="West",1,0)</f>
        <v>1</v>
      </c>
    </row>
    <row r="244" customFormat="false" ht="15" hidden="false" customHeight="true" outlineLevel="0" collapsed="false">
      <c r="A244" s="1" t="str">
        <f aca="false">cleaned_data!A241</f>
        <v>STR-1060</v>
      </c>
      <c r="B244" s="3" t="n">
        <f aca="false">cleaned_data!B241</f>
        <v>45748</v>
      </c>
      <c r="C244" s="1" t="str">
        <f aca="false">cleaned_data!D241</f>
        <v>Mall</v>
      </c>
      <c r="D244" s="1" t="str">
        <f aca="false">cleaned_data!C241</f>
        <v>West</v>
      </c>
      <c r="E244" s="1" t="n">
        <f aca="false">IF(cleaned_data!D241="Mall",1,0)</f>
        <v>1</v>
      </c>
      <c r="F244" s="1" t="n">
        <f aca="false">IF(cleaned_data!D241="Residential",1,0)</f>
        <v>0</v>
      </c>
      <c r="G244" s="1" t="n">
        <f aca="false">IF(cleaned_data!D241="Airport",1,0)</f>
        <v>0</v>
      </c>
      <c r="H244" s="1" t="n">
        <f aca="false">IF(cleaned_data!C241="North",1,0)</f>
        <v>0</v>
      </c>
      <c r="I244" s="1" t="n">
        <f aca="false">IF(cleaned_data!C241="South",1,0)</f>
        <v>0</v>
      </c>
      <c r="J244" s="1" t="n">
        <f aca="false">IF(cleaned_data!C241="West",1,0)</f>
        <v>1</v>
      </c>
    </row>
    <row r="245" customFormat="false" ht="15" hidden="false" customHeight="true" outlineLevel="0" collapsed="false">
      <c r="A245" s="1" t="str">
        <f aca="false">cleaned_data!A242</f>
        <v>STR-1061</v>
      </c>
      <c r="B245" s="3" t="n">
        <f aca="false">cleaned_data!B242</f>
        <v>45658</v>
      </c>
      <c r="C245" s="1" t="str">
        <f aca="false">cleaned_data!D242</f>
        <v>Airport</v>
      </c>
      <c r="D245" s="1" t="str">
        <f aca="false">cleaned_data!C242</f>
        <v>South</v>
      </c>
      <c r="E245" s="1" t="n">
        <f aca="false">IF(cleaned_data!D242="Mall",1,0)</f>
        <v>0</v>
      </c>
      <c r="F245" s="1" t="n">
        <f aca="false">IF(cleaned_data!D242="Residential",1,0)</f>
        <v>0</v>
      </c>
      <c r="G245" s="1" t="n">
        <f aca="false">IF(cleaned_data!D242="Airport",1,0)</f>
        <v>1</v>
      </c>
      <c r="H245" s="1" t="n">
        <f aca="false">IF(cleaned_data!C242="North",1,0)</f>
        <v>0</v>
      </c>
      <c r="I245" s="1" t="n">
        <f aca="false">IF(cleaned_data!C242="South",1,0)</f>
        <v>1</v>
      </c>
      <c r="J245" s="1" t="n">
        <f aca="false">IF(cleaned_data!C242="West",1,0)</f>
        <v>0</v>
      </c>
    </row>
    <row r="246" customFormat="false" ht="15" hidden="false" customHeight="true" outlineLevel="0" collapsed="false">
      <c r="A246" s="1" t="str">
        <f aca="false">cleaned_data!A243</f>
        <v>STR-1061</v>
      </c>
      <c r="B246" s="3" t="n">
        <f aca="false">cleaned_data!B243</f>
        <v>45689</v>
      </c>
      <c r="C246" s="1" t="str">
        <f aca="false">cleaned_data!D243</f>
        <v>Airport</v>
      </c>
      <c r="D246" s="1" t="str">
        <f aca="false">cleaned_data!C243</f>
        <v>South</v>
      </c>
      <c r="E246" s="1" t="n">
        <f aca="false">IF(cleaned_data!D243="Mall",1,0)</f>
        <v>0</v>
      </c>
      <c r="F246" s="1" t="n">
        <f aca="false">IF(cleaned_data!D243="Residential",1,0)</f>
        <v>0</v>
      </c>
      <c r="G246" s="1" t="n">
        <f aca="false">IF(cleaned_data!D243="Airport",1,0)</f>
        <v>1</v>
      </c>
      <c r="H246" s="1" t="n">
        <f aca="false">IF(cleaned_data!C243="North",1,0)</f>
        <v>0</v>
      </c>
      <c r="I246" s="1" t="n">
        <f aca="false">IF(cleaned_data!C243="South",1,0)</f>
        <v>1</v>
      </c>
      <c r="J246" s="1" t="n">
        <f aca="false">IF(cleaned_data!C243="West",1,0)</f>
        <v>0</v>
      </c>
    </row>
    <row r="247" customFormat="false" ht="15" hidden="false" customHeight="true" outlineLevel="0" collapsed="false">
      <c r="A247" s="1" t="str">
        <f aca="false">cleaned_data!A244</f>
        <v>STR-1061</v>
      </c>
      <c r="B247" s="3" t="n">
        <f aca="false">cleaned_data!B244</f>
        <v>45717</v>
      </c>
      <c r="C247" s="1" t="str">
        <f aca="false">cleaned_data!D244</f>
        <v>Airport</v>
      </c>
      <c r="D247" s="1" t="str">
        <f aca="false">cleaned_data!C244</f>
        <v>South</v>
      </c>
      <c r="E247" s="1" t="n">
        <f aca="false">IF(cleaned_data!D244="Mall",1,0)</f>
        <v>0</v>
      </c>
      <c r="F247" s="1" t="n">
        <f aca="false">IF(cleaned_data!D244="Residential",1,0)</f>
        <v>0</v>
      </c>
      <c r="G247" s="1" t="n">
        <f aca="false">IF(cleaned_data!D244="Airport",1,0)</f>
        <v>1</v>
      </c>
      <c r="H247" s="1" t="n">
        <f aca="false">IF(cleaned_data!C244="North",1,0)</f>
        <v>0</v>
      </c>
      <c r="I247" s="1" t="n">
        <f aca="false">IF(cleaned_data!C244="South",1,0)</f>
        <v>1</v>
      </c>
      <c r="J247" s="1" t="n">
        <f aca="false">IF(cleaned_data!C244="West",1,0)</f>
        <v>0</v>
      </c>
    </row>
    <row r="248" customFormat="false" ht="15" hidden="false" customHeight="true" outlineLevel="0" collapsed="false">
      <c r="A248" s="1" t="str">
        <f aca="false">cleaned_data!A245</f>
        <v>STR-1061</v>
      </c>
      <c r="B248" s="3" t="n">
        <f aca="false">cleaned_data!B245</f>
        <v>45748</v>
      </c>
      <c r="C248" s="1" t="str">
        <f aca="false">cleaned_data!D245</f>
        <v>Airport</v>
      </c>
      <c r="D248" s="1" t="str">
        <f aca="false">cleaned_data!C245</f>
        <v>South</v>
      </c>
      <c r="E248" s="1" t="n">
        <f aca="false">IF(cleaned_data!D245="Mall",1,0)</f>
        <v>0</v>
      </c>
      <c r="F248" s="1" t="n">
        <f aca="false">IF(cleaned_data!D245="Residential",1,0)</f>
        <v>0</v>
      </c>
      <c r="G248" s="1" t="n">
        <f aca="false">IF(cleaned_data!D245="Airport",1,0)</f>
        <v>1</v>
      </c>
      <c r="H248" s="1" t="n">
        <f aca="false">IF(cleaned_data!C245="North",1,0)</f>
        <v>0</v>
      </c>
      <c r="I248" s="1" t="n">
        <f aca="false">IF(cleaned_data!C245="South",1,0)</f>
        <v>1</v>
      </c>
      <c r="J248" s="1" t="n">
        <f aca="false">IF(cleaned_data!C245="West",1,0)</f>
        <v>0</v>
      </c>
    </row>
    <row r="249" customFormat="false" ht="15" hidden="false" customHeight="true" outlineLevel="0" collapsed="false">
      <c r="A249" s="1" t="str">
        <f aca="false">cleaned_data!A246</f>
        <v>STR-1062</v>
      </c>
      <c r="B249" s="3" t="n">
        <f aca="false">cleaned_data!B246</f>
        <v>45658</v>
      </c>
      <c r="C249" s="1" t="str">
        <f aca="false">cleaned_data!D246</f>
        <v>High Street</v>
      </c>
      <c r="D249" s="1" t="str">
        <f aca="false">cleaned_data!C246</f>
        <v>East</v>
      </c>
      <c r="E249" s="1" t="n">
        <f aca="false">IF(cleaned_data!D246="Mall",1,0)</f>
        <v>0</v>
      </c>
      <c r="F249" s="1" t="n">
        <f aca="false">IF(cleaned_data!D246="Residential",1,0)</f>
        <v>0</v>
      </c>
      <c r="G249" s="1" t="n">
        <f aca="false">IF(cleaned_data!D246="Airport",1,0)</f>
        <v>0</v>
      </c>
      <c r="H249" s="1" t="n">
        <f aca="false">IF(cleaned_data!C246="North",1,0)</f>
        <v>0</v>
      </c>
      <c r="I249" s="1" t="n">
        <f aca="false">IF(cleaned_data!C246="South",1,0)</f>
        <v>0</v>
      </c>
      <c r="J249" s="1" t="n">
        <f aca="false">IF(cleaned_data!C246="West",1,0)</f>
        <v>0</v>
      </c>
    </row>
    <row r="250" customFormat="false" ht="15" hidden="false" customHeight="true" outlineLevel="0" collapsed="false">
      <c r="A250" s="1" t="str">
        <f aca="false">cleaned_data!A247</f>
        <v>STR-1062</v>
      </c>
      <c r="B250" s="3" t="n">
        <f aca="false">cleaned_data!B247</f>
        <v>45689</v>
      </c>
      <c r="C250" s="1" t="str">
        <f aca="false">cleaned_data!D247</f>
        <v>High Street</v>
      </c>
      <c r="D250" s="1" t="str">
        <f aca="false">cleaned_data!C247</f>
        <v>East</v>
      </c>
      <c r="E250" s="1" t="n">
        <f aca="false">IF(cleaned_data!D247="Mall",1,0)</f>
        <v>0</v>
      </c>
      <c r="F250" s="1" t="n">
        <f aca="false">IF(cleaned_data!D247="Residential",1,0)</f>
        <v>0</v>
      </c>
      <c r="G250" s="1" t="n">
        <f aca="false">IF(cleaned_data!D247="Airport",1,0)</f>
        <v>0</v>
      </c>
      <c r="H250" s="1" t="n">
        <f aca="false">IF(cleaned_data!C247="North",1,0)</f>
        <v>0</v>
      </c>
      <c r="I250" s="1" t="n">
        <f aca="false">IF(cleaned_data!C247="South",1,0)</f>
        <v>0</v>
      </c>
      <c r="J250" s="1" t="n">
        <f aca="false">IF(cleaned_data!C247="West",1,0)</f>
        <v>0</v>
      </c>
    </row>
    <row r="251" customFormat="false" ht="15" hidden="false" customHeight="true" outlineLevel="0" collapsed="false">
      <c r="A251" s="1" t="str">
        <f aca="false">cleaned_data!A248</f>
        <v>STR-1062</v>
      </c>
      <c r="B251" s="3" t="n">
        <f aca="false">cleaned_data!B248</f>
        <v>45717</v>
      </c>
      <c r="C251" s="1" t="str">
        <f aca="false">cleaned_data!D248</f>
        <v>High Street</v>
      </c>
      <c r="D251" s="1" t="str">
        <f aca="false">cleaned_data!C248</f>
        <v>East</v>
      </c>
      <c r="E251" s="1" t="n">
        <f aca="false">IF(cleaned_data!D248="Mall",1,0)</f>
        <v>0</v>
      </c>
      <c r="F251" s="1" t="n">
        <f aca="false">IF(cleaned_data!D248="Residential",1,0)</f>
        <v>0</v>
      </c>
      <c r="G251" s="1" t="n">
        <f aca="false">IF(cleaned_data!D248="Airport",1,0)</f>
        <v>0</v>
      </c>
      <c r="H251" s="1" t="n">
        <f aca="false">IF(cleaned_data!C248="North",1,0)</f>
        <v>0</v>
      </c>
      <c r="I251" s="1" t="n">
        <f aca="false">IF(cleaned_data!C248="South",1,0)</f>
        <v>0</v>
      </c>
      <c r="J251" s="1" t="n">
        <f aca="false">IF(cleaned_data!C248="West",1,0)</f>
        <v>0</v>
      </c>
    </row>
    <row r="252" customFormat="false" ht="15" hidden="false" customHeight="true" outlineLevel="0" collapsed="false">
      <c r="A252" s="1" t="str">
        <f aca="false">cleaned_data!A249</f>
        <v>STR-1062</v>
      </c>
      <c r="B252" s="3" t="n">
        <f aca="false">cleaned_data!B249</f>
        <v>45748</v>
      </c>
      <c r="C252" s="1" t="str">
        <f aca="false">cleaned_data!D249</f>
        <v>High Street</v>
      </c>
      <c r="D252" s="1" t="str">
        <f aca="false">cleaned_data!C249</f>
        <v>East</v>
      </c>
      <c r="E252" s="1" t="n">
        <f aca="false">IF(cleaned_data!D249="Mall",1,0)</f>
        <v>0</v>
      </c>
      <c r="F252" s="1" t="n">
        <f aca="false">IF(cleaned_data!D249="Residential",1,0)</f>
        <v>0</v>
      </c>
      <c r="G252" s="1" t="n">
        <f aca="false">IF(cleaned_data!D249="Airport",1,0)</f>
        <v>0</v>
      </c>
      <c r="H252" s="1" t="n">
        <f aca="false">IF(cleaned_data!C249="North",1,0)</f>
        <v>0</v>
      </c>
      <c r="I252" s="1" t="n">
        <f aca="false">IF(cleaned_data!C249="South",1,0)</f>
        <v>0</v>
      </c>
      <c r="J252" s="1" t="n">
        <f aca="false">IF(cleaned_data!C249="West",1,0)</f>
        <v>0</v>
      </c>
    </row>
    <row r="253" customFormat="false" ht="15" hidden="false" customHeight="true" outlineLevel="0" collapsed="false">
      <c r="A253" s="1" t="str">
        <f aca="false">cleaned_data!A250</f>
        <v>STR-1063</v>
      </c>
      <c r="B253" s="3" t="n">
        <f aca="false">cleaned_data!B250</f>
        <v>45658</v>
      </c>
      <c r="C253" s="1" t="str">
        <f aca="false">cleaned_data!D250</f>
        <v>High Street</v>
      </c>
      <c r="D253" s="1" t="str">
        <f aca="false">cleaned_data!C250</f>
        <v>North</v>
      </c>
      <c r="E253" s="1" t="n">
        <f aca="false">IF(cleaned_data!D250="Mall",1,0)</f>
        <v>0</v>
      </c>
      <c r="F253" s="1" t="n">
        <f aca="false">IF(cleaned_data!D250="Residential",1,0)</f>
        <v>0</v>
      </c>
      <c r="G253" s="1" t="n">
        <f aca="false">IF(cleaned_data!D250="Airport",1,0)</f>
        <v>0</v>
      </c>
      <c r="H253" s="1" t="n">
        <f aca="false">IF(cleaned_data!C250="North",1,0)</f>
        <v>1</v>
      </c>
      <c r="I253" s="1" t="n">
        <f aca="false">IF(cleaned_data!C250="South",1,0)</f>
        <v>0</v>
      </c>
      <c r="J253" s="1" t="n">
        <f aca="false">IF(cleaned_data!C250="West",1,0)</f>
        <v>0</v>
      </c>
    </row>
    <row r="254" customFormat="false" ht="15" hidden="false" customHeight="true" outlineLevel="0" collapsed="false">
      <c r="A254" s="1" t="str">
        <f aca="false">cleaned_data!A251</f>
        <v>STR-1063</v>
      </c>
      <c r="B254" s="3" t="n">
        <f aca="false">cleaned_data!B251</f>
        <v>45689</v>
      </c>
      <c r="C254" s="1" t="str">
        <f aca="false">cleaned_data!D251</f>
        <v>High Street</v>
      </c>
      <c r="D254" s="1" t="str">
        <f aca="false">cleaned_data!C251</f>
        <v>North</v>
      </c>
      <c r="E254" s="1" t="n">
        <f aca="false">IF(cleaned_data!D251="Mall",1,0)</f>
        <v>0</v>
      </c>
      <c r="F254" s="1" t="n">
        <f aca="false">IF(cleaned_data!D251="Residential",1,0)</f>
        <v>0</v>
      </c>
      <c r="G254" s="1" t="n">
        <f aca="false">IF(cleaned_data!D251="Airport",1,0)</f>
        <v>0</v>
      </c>
      <c r="H254" s="1" t="n">
        <f aca="false">IF(cleaned_data!C251="North",1,0)</f>
        <v>1</v>
      </c>
      <c r="I254" s="1" t="n">
        <f aca="false">IF(cleaned_data!C251="South",1,0)</f>
        <v>0</v>
      </c>
      <c r="J254" s="1" t="n">
        <f aca="false">IF(cleaned_data!C251="West",1,0)</f>
        <v>0</v>
      </c>
    </row>
    <row r="255" customFormat="false" ht="15" hidden="false" customHeight="true" outlineLevel="0" collapsed="false">
      <c r="A255" s="1" t="str">
        <f aca="false">cleaned_data!A252</f>
        <v>STR-1063</v>
      </c>
      <c r="B255" s="3" t="n">
        <f aca="false">cleaned_data!B252</f>
        <v>45717</v>
      </c>
      <c r="C255" s="1" t="str">
        <f aca="false">cleaned_data!D252</f>
        <v>High Street</v>
      </c>
      <c r="D255" s="1" t="str">
        <f aca="false">cleaned_data!C252</f>
        <v>North</v>
      </c>
      <c r="E255" s="1" t="n">
        <f aca="false">IF(cleaned_data!D252="Mall",1,0)</f>
        <v>0</v>
      </c>
      <c r="F255" s="1" t="n">
        <f aca="false">IF(cleaned_data!D252="Residential",1,0)</f>
        <v>0</v>
      </c>
      <c r="G255" s="1" t="n">
        <f aca="false">IF(cleaned_data!D252="Airport",1,0)</f>
        <v>0</v>
      </c>
      <c r="H255" s="1" t="n">
        <f aca="false">IF(cleaned_data!C252="North",1,0)</f>
        <v>1</v>
      </c>
      <c r="I255" s="1" t="n">
        <f aca="false">IF(cleaned_data!C252="South",1,0)</f>
        <v>0</v>
      </c>
      <c r="J255" s="1" t="n">
        <f aca="false">IF(cleaned_data!C252="West",1,0)</f>
        <v>0</v>
      </c>
    </row>
    <row r="256" customFormat="false" ht="15" hidden="false" customHeight="true" outlineLevel="0" collapsed="false">
      <c r="A256" s="1" t="str">
        <f aca="false">cleaned_data!A253</f>
        <v>STR-1063</v>
      </c>
      <c r="B256" s="3" t="n">
        <f aca="false">cleaned_data!B253</f>
        <v>45748</v>
      </c>
      <c r="C256" s="1" t="str">
        <f aca="false">cleaned_data!D253</f>
        <v>High Street</v>
      </c>
      <c r="D256" s="1" t="str">
        <f aca="false">cleaned_data!C253</f>
        <v>North</v>
      </c>
      <c r="E256" s="1" t="n">
        <f aca="false">IF(cleaned_data!D253="Mall",1,0)</f>
        <v>0</v>
      </c>
      <c r="F256" s="1" t="n">
        <f aca="false">IF(cleaned_data!D253="Residential",1,0)</f>
        <v>0</v>
      </c>
      <c r="G256" s="1" t="n">
        <f aca="false">IF(cleaned_data!D253="Airport",1,0)</f>
        <v>0</v>
      </c>
      <c r="H256" s="1" t="n">
        <f aca="false">IF(cleaned_data!C253="North",1,0)</f>
        <v>1</v>
      </c>
      <c r="I256" s="1" t="n">
        <f aca="false">IF(cleaned_data!C253="South",1,0)</f>
        <v>0</v>
      </c>
      <c r="J256" s="1" t="n">
        <f aca="false">IF(cleaned_data!C253="West",1,0)</f>
        <v>0</v>
      </c>
    </row>
    <row r="257" customFormat="false" ht="15" hidden="false" customHeight="true" outlineLevel="0" collapsed="false">
      <c r="A257" s="1" t="str">
        <f aca="false">cleaned_data!A254</f>
        <v>STR-1064</v>
      </c>
      <c r="B257" s="3" t="n">
        <f aca="false">cleaned_data!B254</f>
        <v>45658</v>
      </c>
      <c r="C257" s="1" t="str">
        <f aca="false">cleaned_data!D254</f>
        <v>Airport</v>
      </c>
      <c r="D257" s="1" t="str">
        <f aca="false">cleaned_data!C254</f>
        <v>South</v>
      </c>
      <c r="E257" s="1" t="n">
        <f aca="false">IF(cleaned_data!D254="Mall",1,0)</f>
        <v>0</v>
      </c>
      <c r="F257" s="1" t="n">
        <f aca="false">IF(cleaned_data!D254="Residential",1,0)</f>
        <v>0</v>
      </c>
      <c r="G257" s="1" t="n">
        <f aca="false">IF(cleaned_data!D254="Airport",1,0)</f>
        <v>1</v>
      </c>
      <c r="H257" s="1" t="n">
        <f aca="false">IF(cleaned_data!C254="North",1,0)</f>
        <v>0</v>
      </c>
      <c r="I257" s="1" t="n">
        <f aca="false">IF(cleaned_data!C254="South",1,0)</f>
        <v>1</v>
      </c>
      <c r="J257" s="1" t="n">
        <f aca="false">IF(cleaned_data!C254="West",1,0)</f>
        <v>0</v>
      </c>
    </row>
    <row r="258" customFormat="false" ht="15" hidden="false" customHeight="true" outlineLevel="0" collapsed="false">
      <c r="A258" s="1" t="str">
        <f aca="false">cleaned_data!A255</f>
        <v>STR-1064</v>
      </c>
      <c r="B258" s="3" t="n">
        <f aca="false">cleaned_data!B255</f>
        <v>45689</v>
      </c>
      <c r="C258" s="1" t="str">
        <f aca="false">cleaned_data!D255</f>
        <v>Airport</v>
      </c>
      <c r="D258" s="1" t="str">
        <f aca="false">cleaned_data!C255</f>
        <v>South</v>
      </c>
      <c r="E258" s="1" t="n">
        <f aca="false">IF(cleaned_data!D255="Mall",1,0)</f>
        <v>0</v>
      </c>
      <c r="F258" s="1" t="n">
        <f aca="false">IF(cleaned_data!D255="Residential",1,0)</f>
        <v>0</v>
      </c>
      <c r="G258" s="1" t="n">
        <f aca="false">IF(cleaned_data!D255="Airport",1,0)</f>
        <v>1</v>
      </c>
      <c r="H258" s="1" t="n">
        <f aca="false">IF(cleaned_data!C255="North",1,0)</f>
        <v>0</v>
      </c>
      <c r="I258" s="1" t="n">
        <f aca="false">IF(cleaned_data!C255="South",1,0)</f>
        <v>1</v>
      </c>
      <c r="J258" s="1" t="n">
        <f aca="false">IF(cleaned_data!C255="West",1,0)</f>
        <v>0</v>
      </c>
    </row>
    <row r="259" customFormat="false" ht="15" hidden="false" customHeight="true" outlineLevel="0" collapsed="false">
      <c r="A259" s="1" t="str">
        <f aca="false">cleaned_data!A256</f>
        <v>STR-1064</v>
      </c>
      <c r="B259" s="3" t="n">
        <f aca="false">cleaned_data!B256</f>
        <v>45717</v>
      </c>
      <c r="C259" s="1" t="str">
        <f aca="false">cleaned_data!D256</f>
        <v>Airport</v>
      </c>
      <c r="D259" s="1" t="str">
        <f aca="false">cleaned_data!C256</f>
        <v>South</v>
      </c>
      <c r="E259" s="1" t="n">
        <f aca="false">IF(cleaned_data!D256="Mall",1,0)</f>
        <v>0</v>
      </c>
      <c r="F259" s="1" t="n">
        <f aca="false">IF(cleaned_data!D256="Residential",1,0)</f>
        <v>0</v>
      </c>
      <c r="G259" s="1" t="n">
        <f aca="false">IF(cleaned_data!D256="Airport",1,0)</f>
        <v>1</v>
      </c>
      <c r="H259" s="1" t="n">
        <f aca="false">IF(cleaned_data!C256="North",1,0)</f>
        <v>0</v>
      </c>
      <c r="I259" s="1" t="n">
        <f aca="false">IF(cleaned_data!C256="South",1,0)</f>
        <v>1</v>
      </c>
      <c r="J259" s="1" t="n">
        <f aca="false">IF(cleaned_data!C256="West",1,0)</f>
        <v>0</v>
      </c>
    </row>
    <row r="260" customFormat="false" ht="15" hidden="false" customHeight="true" outlineLevel="0" collapsed="false">
      <c r="A260" s="1" t="str">
        <f aca="false">cleaned_data!A257</f>
        <v>STR-1064</v>
      </c>
      <c r="B260" s="3" t="n">
        <f aca="false">cleaned_data!B257</f>
        <v>45748</v>
      </c>
      <c r="C260" s="1" t="str">
        <f aca="false">cleaned_data!D257</f>
        <v>Airport</v>
      </c>
      <c r="D260" s="1" t="str">
        <f aca="false">cleaned_data!C257</f>
        <v>South</v>
      </c>
      <c r="E260" s="1" t="n">
        <f aca="false">IF(cleaned_data!D257="Mall",1,0)</f>
        <v>0</v>
      </c>
      <c r="F260" s="1" t="n">
        <f aca="false">IF(cleaned_data!D257="Residential",1,0)</f>
        <v>0</v>
      </c>
      <c r="G260" s="1" t="n">
        <f aca="false">IF(cleaned_data!D257="Airport",1,0)</f>
        <v>1</v>
      </c>
      <c r="H260" s="1" t="n">
        <f aca="false">IF(cleaned_data!C257="North",1,0)</f>
        <v>0</v>
      </c>
      <c r="I260" s="1" t="n">
        <f aca="false">IF(cleaned_data!C257="South",1,0)</f>
        <v>1</v>
      </c>
      <c r="J260" s="1" t="n">
        <f aca="false">IF(cleaned_data!C257="West",1,0)</f>
        <v>0</v>
      </c>
    </row>
    <row r="261" customFormat="false" ht="15" hidden="false" customHeight="true" outlineLevel="0" collapsed="false">
      <c r="A261" s="1" t="str">
        <f aca="false">cleaned_data!A258</f>
        <v>STR-1065</v>
      </c>
      <c r="B261" s="3" t="n">
        <f aca="false">cleaned_data!B258</f>
        <v>45658</v>
      </c>
      <c r="C261" s="1" t="str">
        <f aca="false">cleaned_data!D258</f>
        <v>Mall</v>
      </c>
      <c r="D261" s="1" t="str">
        <f aca="false">cleaned_data!C258</f>
        <v>South</v>
      </c>
      <c r="E261" s="1" t="n">
        <f aca="false">IF(cleaned_data!D258="Mall",1,0)</f>
        <v>1</v>
      </c>
      <c r="F261" s="1" t="n">
        <f aca="false">IF(cleaned_data!D258="Residential",1,0)</f>
        <v>0</v>
      </c>
      <c r="G261" s="1" t="n">
        <f aca="false">IF(cleaned_data!D258="Airport",1,0)</f>
        <v>0</v>
      </c>
      <c r="H261" s="1" t="n">
        <f aca="false">IF(cleaned_data!C258="North",1,0)</f>
        <v>0</v>
      </c>
      <c r="I261" s="1" t="n">
        <f aca="false">IF(cleaned_data!C258="South",1,0)</f>
        <v>1</v>
      </c>
      <c r="J261" s="1" t="n">
        <f aca="false">IF(cleaned_data!C258="West",1,0)</f>
        <v>0</v>
      </c>
    </row>
    <row r="262" customFormat="false" ht="15" hidden="false" customHeight="true" outlineLevel="0" collapsed="false">
      <c r="A262" s="1" t="str">
        <f aca="false">cleaned_data!A259</f>
        <v>STR-1065</v>
      </c>
      <c r="B262" s="3" t="n">
        <f aca="false">cleaned_data!B259</f>
        <v>45689</v>
      </c>
      <c r="C262" s="1" t="str">
        <f aca="false">cleaned_data!D259</f>
        <v>Mall</v>
      </c>
      <c r="D262" s="1" t="str">
        <f aca="false">cleaned_data!C259</f>
        <v>South</v>
      </c>
      <c r="E262" s="1" t="n">
        <f aca="false">IF(cleaned_data!D259="Mall",1,0)</f>
        <v>1</v>
      </c>
      <c r="F262" s="1" t="n">
        <f aca="false">IF(cleaned_data!D259="Residential",1,0)</f>
        <v>0</v>
      </c>
      <c r="G262" s="1" t="n">
        <f aca="false">IF(cleaned_data!D259="Airport",1,0)</f>
        <v>0</v>
      </c>
      <c r="H262" s="1" t="n">
        <f aca="false">IF(cleaned_data!C259="North",1,0)</f>
        <v>0</v>
      </c>
      <c r="I262" s="1" t="n">
        <f aca="false">IF(cleaned_data!C259="South",1,0)</f>
        <v>1</v>
      </c>
      <c r="J262" s="1" t="n">
        <f aca="false">IF(cleaned_data!C259="West",1,0)</f>
        <v>0</v>
      </c>
    </row>
    <row r="263" customFormat="false" ht="15" hidden="false" customHeight="true" outlineLevel="0" collapsed="false">
      <c r="A263" s="1" t="str">
        <f aca="false">cleaned_data!A260</f>
        <v>STR-1065</v>
      </c>
      <c r="B263" s="3" t="n">
        <f aca="false">cleaned_data!B260</f>
        <v>45717</v>
      </c>
      <c r="C263" s="1" t="str">
        <f aca="false">cleaned_data!D260</f>
        <v>Mall</v>
      </c>
      <c r="D263" s="1" t="str">
        <f aca="false">cleaned_data!C260</f>
        <v>South</v>
      </c>
      <c r="E263" s="1" t="n">
        <f aca="false">IF(cleaned_data!D260="Mall",1,0)</f>
        <v>1</v>
      </c>
      <c r="F263" s="1" t="n">
        <f aca="false">IF(cleaned_data!D260="Residential",1,0)</f>
        <v>0</v>
      </c>
      <c r="G263" s="1" t="n">
        <f aca="false">IF(cleaned_data!D260="Airport",1,0)</f>
        <v>0</v>
      </c>
      <c r="H263" s="1" t="n">
        <f aca="false">IF(cleaned_data!C260="North",1,0)</f>
        <v>0</v>
      </c>
      <c r="I263" s="1" t="n">
        <f aca="false">IF(cleaned_data!C260="South",1,0)</f>
        <v>1</v>
      </c>
      <c r="J263" s="1" t="n">
        <f aca="false">IF(cleaned_data!C260="West",1,0)</f>
        <v>0</v>
      </c>
    </row>
    <row r="264" customFormat="false" ht="15" hidden="false" customHeight="true" outlineLevel="0" collapsed="false">
      <c r="A264" s="1" t="str">
        <f aca="false">cleaned_data!A261</f>
        <v>STR-1065</v>
      </c>
      <c r="B264" s="3" t="n">
        <f aca="false">cleaned_data!B261</f>
        <v>45748</v>
      </c>
      <c r="C264" s="1" t="str">
        <f aca="false">cleaned_data!D261</f>
        <v>Mall</v>
      </c>
      <c r="D264" s="1" t="str">
        <f aca="false">cleaned_data!C261</f>
        <v>South</v>
      </c>
      <c r="E264" s="1" t="n">
        <f aca="false">IF(cleaned_data!D261="Mall",1,0)</f>
        <v>1</v>
      </c>
      <c r="F264" s="1" t="n">
        <f aca="false">IF(cleaned_data!D261="Residential",1,0)</f>
        <v>0</v>
      </c>
      <c r="G264" s="1" t="n">
        <f aca="false">IF(cleaned_data!D261="Airport",1,0)</f>
        <v>0</v>
      </c>
      <c r="H264" s="1" t="n">
        <f aca="false">IF(cleaned_data!C261="North",1,0)</f>
        <v>0</v>
      </c>
      <c r="I264" s="1" t="n">
        <f aca="false">IF(cleaned_data!C261="South",1,0)</f>
        <v>1</v>
      </c>
      <c r="J264" s="1" t="n">
        <f aca="false">IF(cleaned_data!C261="West",1,0)</f>
        <v>0</v>
      </c>
    </row>
    <row r="265" customFormat="false" ht="15" hidden="false" customHeight="true" outlineLevel="0" collapsed="false">
      <c r="A265" s="1" t="str">
        <f aca="false">cleaned_data!A262</f>
        <v>STR-1066</v>
      </c>
      <c r="B265" s="3" t="n">
        <f aca="false">cleaned_data!B262</f>
        <v>45658</v>
      </c>
      <c r="C265" s="1" t="str">
        <f aca="false">cleaned_data!D262</f>
        <v>High Street</v>
      </c>
      <c r="D265" s="1" t="str">
        <f aca="false">cleaned_data!C262</f>
        <v>West</v>
      </c>
      <c r="E265" s="1" t="n">
        <f aca="false">IF(cleaned_data!D262="Mall",1,0)</f>
        <v>0</v>
      </c>
      <c r="F265" s="1" t="n">
        <f aca="false">IF(cleaned_data!D262="Residential",1,0)</f>
        <v>0</v>
      </c>
      <c r="G265" s="1" t="n">
        <f aca="false">IF(cleaned_data!D262="Airport",1,0)</f>
        <v>0</v>
      </c>
      <c r="H265" s="1" t="n">
        <f aca="false">IF(cleaned_data!C262="North",1,0)</f>
        <v>0</v>
      </c>
      <c r="I265" s="1" t="n">
        <f aca="false">IF(cleaned_data!C262="South",1,0)</f>
        <v>0</v>
      </c>
      <c r="J265" s="1" t="n">
        <f aca="false">IF(cleaned_data!C262="West",1,0)</f>
        <v>1</v>
      </c>
    </row>
    <row r="266" customFormat="false" ht="15" hidden="false" customHeight="true" outlineLevel="0" collapsed="false">
      <c r="A266" s="1" t="str">
        <f aca="false">cleaned_data!A263</f>
        <v>STR-1066</v>
      </c>
      <c r="B266" s="3" t="n">
        <f aca="false">cleaned_data!B263</f>
        <v>45689</v>
      </c>
      <c r="C266" s="1" t="str">
        <f aca="false">cleaned_data!D263</f>
        <v>High Street</v>
      </c>
      <c r="D266" s="1" t="str">
        <f aca="false">cleaned_data!C263</f>
        <v>West</v>
      </c>
      <c r="E266" s="1" t="n">
        <f aca="false">IF(cleaned_data!D263="Mall",1,0)</f>
        <v>0</v>
      </c>
      <c r="F266" s="1" t="n">
        <f aca="false">IF(cleaned_data!D263="Residential",1,0)</f>
        <v>0</v>
      </c>
      <c r="G266" s="1" t="n">
        <f aca="false">IF(cleaned_data!D263="Airport",1,0)</f>
        <v>0</v>
      </c>
      <c r="H266" s="1" t="n">
        <f aca="false">IF(cleaned_data!C263="North",1,0)</f>
        <v>0</v>
      </c>
      <c r="I266" s="1" t="n">
        <f aca="false">IF(cleaned_data!C263="South",1,0)</f>
        <v>0</v>
      </c>
      <c r="J266" s="1" t="n">
        <f aca="false">IF(cleaned_data!C263="West",1,0)</f>
        <v>1</v>
      </c>
    </row>
    <row r="267" customFormat="false" ht="15" hidden="false" customHeight="true" outlineLevel="0" collapsed="false">
      <c r="A267" s="1" t="str">
        <f aca="false">cleaned_data!A264</f>
        <v>STR-1066</v>
      </c>
      <c r="B267" s="3" t="n">
        <f aca="false">cleaned_data!B264</f>
        <v>45717</v>
      </c>
      <c r="C267" s="1" t="str">
        <f aca="false">cleaned_data!D264</f>
        <v>High Street</v>
      </c>
      <c r="D267" s="1" t="str">
        <f aca="false">cleaned_data!C264</f>
        <v>West</v>
      </c>
      <c r="E267" s="1" t="n">
        <f aca="false">IF(cleaned_data!D264="Mall",1,0)</f>
        <v>0</v>
      </c>
      <c r="F267" s="1" t="n">
        <f aca="false">IF(cleaned_data!D264="Residential",1,0)</f>
        <v>0</v>
      </c>
      <c r="G267" s="1" t="n">
        <f aca="false">IF(cleaned_data!D264="Airport",1,0)</f>
        <v>0</v>
      </c>
      <c r="H267" s="1" t="n">
        <f aca="false">IF(cleaned_data!C264="North",1,0)</f>
        <v>0</v>
      </c>
      <c r="I267" s="1" t="n">
        <f aca="false">IF(cleaned_data!C264="South",1,0)</f>
        <v>0</v>
      </c>
      <c r="J267" s="1" t="n">
        <f aca="false">IF(cleaned_data!C264="West",1,0)</f>
        <v>1</v>
      </c>
    </row>
    <row r="268" customFormat="false" ht="15" hidden="false" customHeight="true" outlineLevel="0" collapsed="false">
      <c r="A268" s="1" t="str">
        <f aca="false">cleaned_data!A265</f>
        <v>STR-1066</v>
      </c>
      <c r="B268" s="3" t="n">
        <f aca="false">cleaned_data!B265</f>
        <v>45748</v>
      </c>
      <c r="C268" s="1" t="str">
        <f aca="false">cleaned_data!D265</f>
        <v>High Street</v>
      </c>
      <c r="D268" s="1" t="str">
        <f aca="false">cleaned_data!C265</f>
        <v>West</v>
      </c>
      <c r="E268" s="1" t="n">
        <f aca="false">IF(cleaned_data!D265="Mall",1,0)</f>
        <v>0</v>
      </c>
      <c r="F268" s="1" t="n">
        <f aca="false">IF(cleaned_data!D265="Residential",1,0)</f>
        <v>0</v>
      </c>
      <c r="G268" s="1" t="n">
        <f aca="false">IF(cleaned_data!D265="Airport",1,0)</f>
        <v>0</v>
      </c>
      <c r="H268" s="1" t="n">
        <f aca="false">IF(cleaned_data!C265="North",1,0)</f>
        <v>0</v>
      </c>
      <c r="I268" s="1" t="n">
        <f aca="false">IF(cleaned_data!C265="South",1,0)</f>
        <v>0</v>
      </c>
      <c r="J268" s="1" t="n">
        <f aca="false">IF(cleaned_data!C265="West",1,0)</f>
        <v>1</v>
      </c>
    </row>
    <row r="269" customFormat="false" ht="15" hidden="false" customHeight="true" outlineLevel="0" collapsed="false">
      <c r="A269" s="1" t="str">
        <f aca="false">cleaned_data!A266</f>
        <v>STR-1067</v>
      </c>
      <c r="B269" s="3" t="n">
        <f aca="false">cleaned_data!B266</f>
        <v>45658</v>
      </c>
      <c r="C269" s="1" t="str">
        <f aca="false">cleaned_data!D266</f>
        <v>High Street</v>
      </c>
      <c r="D269" s="1" t="str">
        <f aca="false">cleaned_data!C266</f>
        <v>East</v>
      </c>
      <c r="E269" s="1" t="n">
        <f aca="false">IF(cleaned_data!D266="Mall",1,0)</f>
        <v>0</v>
      </c>
      <c r="F269" s="1" t="n">
        <f aca="false">IF(cleaned_data!D266="Residential",1,0)</f>
        <v>0</v>
      </c>
      <c r="G269" s="1" t="n">
        <f aca="false">IF(cleaned_data!D266="Airport",1,0)</f>
        <v>0</v>
      </c>
      <c r="H269" s="1" t="n">
        <f aca="false">IF(cleaned_data!C266="North",1,0)</f>
        <v>0</v>
      </c>
      <c r="I269" s="1" t="n">
        <f aca="false">IF(cleaned_data!C266="South",1,0)</f>
        <v>0</v>
      </c>
      <c r="J269" s="1" t="n">
        <f aca="false">IF(cleaned_data!C266="West",1,0)</f>
        <v>0</v>
      </c>
    </row>
    <row r="270" customFormat="false" ht="15" hidden="false" customHeight="true" outlineLevel="0" collapsed="false">
      <c r="A270" s="1" t="str">
        <f aca="false">cleaned_data!A267</f>
        <v>STR-1067</v>
      </c>
      <c r="B270" s="3" t="n">
        <f aca="false">cleaned_data!B267</f>
        <v>45689</v>
      </c>
      <c r="C270" s="1" t="str">
        <f aca="false">cleaned_data!D267</f>
        <v>High Street</v>
      </c>
      <c r="D270" s="1" t="str">
        <f aca="false">cleaned_data!C267</f>
        <v>East</v>
      </c>
      <c r="E270" s="1" t="n">
        <f aca="false">IF(cleaned_data!D267="Mall",1,0)</f>
        <v>0</v>
      </c>
      <c r="F270" s="1" t="n">
        <f aca="false">IF(cleaned_data!D267="Residential",1,0)</f>
        <v>0</v>
      </c>
      <c r="G270" s="1" t="n">
        <f aca="false">IF(cleaned_data!D267="Airport",1,0)</f>
        <v>0</v>
      </c>
      <c r="H270" s="1" t="n">
        <f aca="false">IF(cleaned_data!C267="North",1,0)</f>
        <v>0</v>
      </c>
      <c r="I270" s="1" t="n">
        <f aca="false">IF(cleaned_data!C267="South",1,0)</f>
        <v>0</v>
      </c>
      <c r="J270" s="1" t="n">
        <f aca="false">IF(cleaned_data!C267="West",1,0)</f>
        <v>0</v>
      </c>
    </row>
    <row r="271" customFormat="false" ht="15" hidden="false" customHeight="true" outlineLevel="0" collapsed="false">
      <c r="A271" s="1" t="str">
        <f aca="false">cleaned_data!A268</f>
        <v>STR-1067</v>
      </c>
      <c r="B271" s="3" t="n">
        <f aca="false">cleaned_data!B268</f>
        <v>45717</v>
      </c>
      <c r="C271" s="1" t="str">
        <f aca="false">cleaned_data!D268</f>
        <v>High Street</v>
      </c>
      <c r="D271" s="1" t="str">
        <f aca="false">cleaned_data!C268</f>
        <v>East</v>
      </c>
      <c r="E271" s="1" t="n">
        <f aca="false">IF(cleaned_data!D268="Mall",1,0)</f>
        <v>0</v>
      </c>
      <c r="F271" s="1" t="n">
        <f aca="false">IF(cleaned_data!D268="Residential",1,0)</f>
        <v>0</v>
      </c>
      <c r="G271" s="1" t="n">
        <f aca="false">IF(cleaned_data!D268="Airport",1,0)</f>
        <v>0</v>
      </c>
      <c r="H271" s="1" t="n">
        <f aca="false">IF(cleaned_data!C268="North",1,0)</f>
        <v>0</v>
      </c>
      <c r="I271" s="1" t="n">
        <f aca="false">IF(cleaned_data!C268="South",1,0)</f>
        <v>0</v>
      </c>
      <c r="J271" s="1" t="n">
        <f aca="false">IF(cleaned_data!C268="West",1,0)</f>
        <v>0</v>
      </c>
    </row>
    <row r="272" customFormat="false" ht="15" hidden="false" customHeight="true" outlineLevel="0" collapsed="false">
      <c r="A272" s="1" t="str">
        <f aca="false">cleaned_data!A269</f>
        <v>STR-1067</v>
      </c>
      <c r="B272" s="3" t="n">
        <f aca="false">cleaned_data!B269</f>
        <v>45748</v>
      </c>
      <c r="C272" s="1" t="str">
        <f aca="false">cleaned_data!D269</f>
        <v>High Street</v>
      </c>
      <c r="D272" s="1" t="str">
        <f aca="false">cleaned_data!C269</f>
        <v>East</v>
      </c>
      <c r="E272" s="1" t="n">
        <f aca="false">IF(cleaned_data!D269="Mall",1,0)</f>
        <v>0</v>
      </c>
      <c r="F272" s="1" t="n">
        <f aca="false">IF(cleaned_data!D269="Residential",1,0)</f>
        <v>0</v>
      </c>
      <c r="G272" s="1" t="n">
        <f aca="false">IF(cleaned_data!D269="Airport",1,0)</f>
        <v>0</v>
      </c>
      <c r="H272" s="1" t="n">
        <f aca="false">IF(cleaned_data!C269="North",1,0)</f>
        <v>0</v>
      </c>
      <c r="I272" s="1" t="n">
        <f aca="false">IF(cleaned_data!C269="South",1,0)</f>
        <v>0</v>
      </c>
      <c r="J272" s="1" t="n">
        <f aca="false">IF(cleaned_data!C269="West",1,0)</f>
        <v>0</v>
      </c>
    </row>
    <row r="273" customFormat="false" ht="15" hidden="false" customHeight="true" outlineLevel="0" collapsed="false">
      <c r="A273" s="1" t="str">
        <f aca="false">cleaned_data!A270</f>
        <v>STR-1068</v>
      </c>
      <c r="B273" s="3" t="n">
        <f aca="false">cleaned_data!B270</f>
        <v>45658</v>
      </c>
      <c r="C273" s="1" t="str">
        <f aca="false">cleaned_data!D270</f>
        <v>Mall</v>
      </c>
      <c r="D273" s="1" t="str">
        <f aca="false">cleaned_data!C270</f>
        <v>East</v>
      </c>
      <c r="E273" s="1" t="n">
        <f aca="false">IF(cleaned_data!D270="Mall",1,0)</f>
        <v>1</v>
      </c>
      <c r="F273" s="1" t="n">
        <f aca="false">IF(cleaned_data!D270="Residential",1,0)</f>
        <v>0</v>
      </c>
      <c r="G273" s="1" t="n">
        <f aca="false">IF(cleaned_data!D270="Airport",1,0)</f>
        <v>0</v>
      </c>
      <c r="H273" s="1" t="n">
        <f aca="false">IF(cleaned_data!C270="North",1,0)</f>
        <v>0</v>
      </c>
      <c r="I273" s="1" t="n">
        <f aca="false">IF(cleaned_data!C270="South",1,0)</f>
        <v>0</v>
      </c>
      <c r="J273" s="1" t="n">
        <f aca="false">IF(cleaned_data!C270="West",1,0)</f>
        <v>0</v>
      </c>
    </row>
    <row r="274" customFormat="false" ht="15" hidden="false" customHeight="true" outlineLevel="0" collapsed="false">
      <c r="A274" s="1" t="str">
        <f aca="false">cleaned_data!A271</f>
        <v>STR-1068</v>
      </c>
      <c r="B274" s="3" t="n">
        <f aca="false">cleaned_data!B271</f>
        <v>45689</v>
      </c>
      <c r="C274" s="1" t="str">
        <f aca="false">cleaned_data!D271</f>
        <v>Mall</v>
      </c>
      <c r="D274" s="1" t="str">
        <f aca="false">cleaned_data!C271</f>
        <v>East</v>
      </c>
      <c r="E274" s="1" t="n">
        <f aca="false">IF(cleaned_data!D271="Mall",1,0)</f>
        <v>1</v>
      </c>
      <c r="F274" s="1" t="n">
        <f aca="false">IF(cleaned_data!D271="Residential",1,0)</f>
        <v>0</v>
      </c>
      <c r="G274" s="1" t="n">
        <f aca="false">IF(cleaned_data!D271="Airport",1,0)</f>
        <v>0</v>
      </c>
      <c r="H274" s="1" t="n">
        <f aca="false">IF(cleaned_data!C271="North",1,0)</f>
        <v>0</v>
      </c>
      <c r="I274" s="1" t="n">
        <f aca="false">IF(cleaned_data!C271="South",1,0)</f>
        <v>0</v>
      </c>
      <c r="J274" s="1" t="n">
        <f aca="false">IF(cleaned_data!C271="West",1,0)</f>
        <v>0</v>
      </c>
    </row>
    <row r="275" customFormat="false" ht="15" hidden="false" customHeight="true" outlineLevel="0" collapsed="false">
      <c r="A275" s="1" t="str">
        <f aca="false">cleaned_data!A272</f>
        <v>STR-1068</v>
      </c>
      <c r="B275" s="3" t="n">
        <f aca="false">cleaned_data!B272</f>
        <v>45717</v>
      </c>
      <c r="C275" s="1" t="str">
        <f aca="false">cleaned_data!D272</f>
        <v>Mall</v>
      </c>
      <c r="D275" s="1" t="str">
        <f aca="false">cleaned_data!C272</f>
        <v>East</v>
      </c>
      <c r="E275" s="1" t="n">
        <f aca="false">IF(cleaned_data!D272="Mall",1,0)</f>
        <v>1</v>
      </c>
      <c r="F275" s="1" t="n">
        <f aca="false">IF(cleaned_data!D272="Residential",1,0)</f>
        <v>0</v>
      </c>
      <c r="G275" s="1" t="n">
        <f aca="false">IF(cleaned_data!D272="Airport",1,0)</f>
        <v>0</v>
      </c>
      <c r="H275" s="1" t="n">
        <f aca="false">IF(cleaned_data!C272="North",1,0)</f>
        <v>0</v>
      </c>
      <c r="I275" s="1" t="n">
        <f aca="false">IF(cleaned_data!C272="South",1,0)</f>
        <v>0</v>
      </c>
      <c r="J275" s="1" t="n">
        <f aca="false">IF(cleaned_data!C272="West",1,0)</f>
        <v>0</v>
      </c>
    </row>
    <row r="276" customFormat="false" ht="15" hidden="false" customHeight="true" outlineLevel="0" collapsed="false">
      <c r="A276" s="1" t="str">
        <f aca="false">cleaned_data!A273</f>
        <v>STR-1068</v>
      </c>
      <c r="B276" s="3" t="n">
        <f aca="false">cleaned_data!B273</f>
        <v>45748</v>
      </c>
      <c r="C276" s="1" t="str">
        <f aca="false">cleaned_data!D273</f>
        <v>Mall</v>
      </c>
      <c r="D276" s="1" t="str">
        <f aca="false">cleaned_data!C273</f>
        <v>East</v>
      </c>
      <c r="E276" s="1" t="n">
        <f aca="false">IF(cleaned_data!D273="Mall",1,0)</f>
        <v>1</v>
      </c>
      <c r="F276" s="1" t="n">
        <f aca="false">IF(cleaned_data!D273="Residential",1,0)</f>
        <v>0</v>
      </c>
      <c r="G276" s="1" t="n">
        <f aca="false">IF(cleaned_data!D273="Airport",1,0)</f>
        <v>0</v>
      </c>
      <c r="H276" s="1" t="n">
        <f aca="false">IF(cleaned_data!C273="North",1,0)</f>
        <v>0</v>
      </c>
      <c r="I276" s="1" t="n">
        <f aca="false">IF(cleaned_data!C273="South",1,0)</f>
        <v>0</v>
      </c>
      <c r="J276" s="1" t="n">
        <f aca="false">IF(cleaned_data!C273="West",1,0)</f>
        <v>0</v>
      </c>
    </row>
    <row r="277" customFormat="false" ht="15" hidden="false" customHeight="true" outlineLevel="0" collapsed="false">
      <c r="A277" s="1" t="str">
        <f aca="false">cleaned_data!A274</f>
        <v>STR-1069</v>
      </c>
      <c r="B277" s="3" t="n">
        <f aca="false">cleaned_data!B274</f>
        <v>45658</v>
      </c>
      <c r="C277" s="1" t="str">
        <f aca="false">cleaned_data!D274</f>
        <v>High Street</v>
      </c>
      <c r="D277" s="1" t="str">
        <f aca="false">cleaned_data!C274</f>
        <v>West</v>
      </c>
      <c r="E277" s="1" t="n">
        <f aca="false">IF(cleaned_data!D274="Mall",1,0)</f>
        <v>0</v>
      </c>
      <c r="F277" s="1" t="n">
        <f aca="false">IF(cleaned_data!D274="Residential",1,0)</f>
        <v>0</v>
      </c>
      <c r="G277" s="1" t="n">
        <f aca="false">IF(cleaned_data!D274="Airport",1,0)</f>
        <v>0</v>
      </c>
      <c r="H277" s="1" t="n">
        <f aca="false">IF(cleaned_data!C274="North",1,0)</f>
        <v>0</v>
      </c>
      <c r="I277" s="1" t="n">
        <f aca="false">IF(cleaned_data!C274="South",1,0)</f>
        <v>0</v>
      </c>
      <c r="J277" s="1" t="n">
        <f aca="false">IF(cleaned_data!C274="West",1,0)</f>
        <v>1</v>
      </c>
    </row>
    <row r="278" customFormat="false" ht="15" hidden="false" customHeight="true" outlineLevel="0" collapsed="false">
      <c r="A278" s="1" t="str">
        <f aca="false">cleaned_data!A275</f>
        <v>STR-1069</v>
      </c>
      <c r="B278" s="3" t="n">
        <f aca="false">cleaned_data!B275</f>
        <v>45689</v>
      </c>
      <c r="C278" s="1" t="str">
        <f aca="false">cleaned_data!D275</f>
        <v>High Street</v>
      </c>
      <c r="D278" s="1" t="str">
        <f aca="false">cleaned_data!C275</f>
        <v>West</v>
      </c>
      <c r="E278" s="1" t="n">
        <f aca="false">IF(cleaned_data!D275="Mall",1,0)</f>
        <v>0</v>
      </c>
      <c r="F278" s="1" t="n">
        <f aca="false">IF(cleaned_data!D275="Residential",1,0)</f>
        <v>0</v>
      </c>
      <c r="G278" s="1" t="n">
        <f aca="false">IF(cleaned_data!D275="Airport",1,0)</f>
        <v>0</v>
      </c>
      <c r="H278" s="1" t="n">
        <f aca="false">IF(cleaned_data!C275="North",1,0)</f>
        <v>0</v>
      </c>
      <c r="I278" s="1" t="n">
        <f aca="false">IF(cleaned_data!C275="South",1,0)</f>
        <v>0</v>
      </c>
      <c r="J278" s="1" t="n">
        <f aca="false">IF(cleaned_data!C275="West",1,0)</f>
        <v>1</v>
      </c>
    </row>
    <row r="279" customFormat="false" ht="15" hidden="false" customHeight="true" outlineLevel="0" collapsed="false">
      <c r="A279" s="1" t="str">
        <f aca="false">cleaned_data!A276</f>
        <v>STR-1069</v>
      </c>
      <c r="B279" s="3" t="n">
        <f aca="false">cleaned_data!B276</f>
        <v>45717</v>
      </c>
      <c r="C279" s="1" t="str">
        <f aca="false">cleaned_data!D276</f>
        <v>High Street</v>
      </c>
      <c r="D279" s="1" t="str">
        <f aca="false">cleaned_data!C276</f>
        <v>West</v>
      </c>
      <c r="E279" s="1" t="n">
        <f aca="false">IF(cleaned_data!D276="Mall",1,0)</f>
        <v>0</v>
      </c>
      <c r="F279" s="1" t="n">
        <f aca="false">IF(cleaned_data!D276="Residential",1,0)</f>
        <v>0</v>
      </c>
      <c r="G279" s="1" t="n">
        <f aca="false">IF(cleaned_data!D276="Airport",1,0)</f>
        <v>0</v>
      </c>
      <c r="H279" s="1" t="n">
        <f aca="false">IF(cleaned_data!C276="North",1,0)</f>
        <v>0</v>
      </c>
      <c r="I279" s="1" t="n">
        <f aca="false">IF(cleaned_data!C276="South",1,0)</f>
        <v>0</v>
      </c>
      <c r="J279" s="1" t="n">
        <f aca="false">IF(cleaned_data!C276="West",1,0)</f>
        <v>1</v>
      </c>
    </row>
    <row r="280" customFormat="false" ht="15" hidden="false" customHeight="true" outlineLevel="0" collapsed="false">
      <c r="A280" s="1" t="str">
        <f aca="false">cleaned_data!A277</f>
        <v>STR-1069</v>
      </c>
      <c r="B280" s="3" t="n">
        <f aca="false">cleaned_data!B277</f>
        <v>45748</v>
      </c>
      <c r="C280" s="1" t="str">
        <f aca="false">cleaned_data!D277</f>
        <v>High Street</v>
      </c>
      <c r="D280" s="1" t="str">
        <f aca="false">cleaned_data!C277</f>
        <v>West</v>
      </c>
      <c r="E280" s="1" t="n">
        <f aca="false">IF(cleaned_data!D277="Mall",1,0)</f>
        <v>0</v>
      </c>
      <c r="F280" s="1" t="n">
        <f aca="false">IF(cleaned_data!D277="Residential",1,0)</f>
        <v>0</v>
      </c>
      <c r="G280" s="1" t="n">
        <f aca="false">IF(cleaned_data!D277="Airport",1,0)</f>
        <v>0</v>
      </c>
      <c r="H280" s="1" t="n">
        <f aca="false">IF(cleaned_data!C277="North",1,0)</f>
        <v>0</v>
      </c>
      <c r="I280" s="1" t="n">
        <f aca="false">IF(cleaned_data!C277="South",1,0)</f>
        <v>0</v>
      </c>
      <c r="J280" s="1" t="n">
        <f aca="false">IF(cleaned_data!C277="West",1,0)</f>
        <v>1</v>
      </c>
    </row>
    <row r="281" customFormat="false" ht="15" hidden="false" customHeight="true" outlineLevel="0" collapsed="false">
      <c r="A281" s="1" t="str">
        <f aca="false">cleaned_data!A278</f>
        <v>STR-1070</v>
      </c>
      <c r="B281" s="3" t="n">
        <f aca="false">cleaned_data!B278</f>
        <v>45658</v>
      </c>
      <c r="C281" s="1" t="str">
        <f aca="false">cleaned_data!D278</f>
        <v>Residential</v>
      </c>
      <c r="D281" s="1" t="str">
        <f aca="false">cleaned_data!C278</f>
        <v>South</v>
      </c>
      <c r="E281" s="1" t="n">
        <f aca="false">IF(cleaned_data!D278="Mall",1,0)</f>
        <v>0</v>
      </c>
      <c r="F281" s="1" t="n">
        <f aca="false">IF(cleaned_data!D278="Residential",1,0)</f>
        <v>1</v>
      </c>
      <c r="G281" s="1" t="n">
        <f aca="false">IF(cleaned_data!D278="Airport",1,0)</f>
        <v>0</v>
      </c>
      <c r="H281" s="1" t="n">
        <f aca="false">IF(cleaned_data!C278="North",1,0)</f>
        <v>0</v>
      </c>
      <c r="I281" s="1" t="n">
        <f aca="false">IF(cleaned_data!C278="South",1,0)</f>
        <v>1</v>
      </c>
      <c r="J281" s="1" t="n">
        <f aca="false">IF(cleaned_data!C278="West",1,0)</f>
        <v>0</v>
      </c>
    </row>
    <row r="282" customFormat="false" ht="15" hidden="false" customHeight="true" outlineLevel="0" collapsed="false">
      <c r="A282" s="1" t="str">
        <f aca="false">cleaned_data!A279</f>
        <v>STR-1070</v>
      </c>
      <c r="B282" s="3" t="n">
        <f aca="false">cleaned_data!B279</f>
        <v>45689</v>
      </c>
      <c r="C282" s="1" t="str">
        <f aca="false">cleaned_data!D279</f>
        <v>Residential</v>
      </c>
      <c r="D282" s="1" t="str">
        <f aca="false">cleaned_data!C279</f>
        <v>South</v>
      </c>
      <c r="E282" s="1" t="n">
        <f aca="false">IF(cleaned_data!D279="Mall",1,0)</f>
        <v>0</v>
      </c>
      <c r="F282" s="1" t="n">
        <f aca="false">IF(cleaned_data!D279="Residential",1,0)</f>
        <v>1</v>
      </c>
      <c r="G282" s="1" t="n">
        <f aca="false">IF(cleaned_data!D279="Airport",1,0)</f>
        <v>0</v>
      </c>
      <c r="H282" s="1" t="n">
        <f aca="false">IF(cleaned_data!C279="North",1,0)</f>
        <v>0</v>
      </c>
      <c r="I282" s="1" t="n">
        <f aca="false">IF(cleaned_data!C279="South",1,0)</f>
        <v>1</v>
      </c>
      <c r="J282" s="1" t="n">
        <f aca="false">IF(cleaned_data!C279="West",1,0)</f>
        <v>0</v>
      </c>
    </row>
    <row r="283" customFormat="false" ht="15" hidden="false" customHeight="true" outlineLevel="0" collapsed="false">
      <c r="A283" s="1" t="str">
        <f aca="false">cleaned_data!A280</f>
        <v>STR-1070</v>
      </c>
      <c r="B283" s="3" t="n">
        <f aca="false">cleaned_data!B280</f>
        <v>45717</v>
      </c>
      <c r="C283" s="1" t="str">
        <f aca="false">cleaned_data!D280</f>
        <v>Residential</v>
      </c>
      <c r="D283" s="1" t="str">
        <f aca="false">cleaned_data!C280</f>
        <v>South</v>
      </c>
      <c r="E283" s="1" t="n">
        <f aca="false">IF(cleaned_data!D280="Mall",1,0)</f>
        <v>0</v>
      </c>
      <c r="F283" s="1" t="n">
        <f aca="false">IF(cleaned_data!D280="Residential",1,0)</f>
        <v>1</v>
      </c>
      <c r="G283" s="1" t="n">
        <f aca="false">IF(cleaned_data!D280="Airport",1,0)</f>
        <v>0</v>
      </c>
      <c r="H283" s="1" t="n">
        <f aca="false">IF(cleaned_data!C280="North",1,0)</f>
        <v>0</v>
      </c>
      <c r="I283" s="1" t="n">
        <f aca="false">IF(cleaned_data!C280="South",1,0)</f>
        <v>1</v>
      </c>
      <c r="J283" s="1" t="n">
        <f aca="false">IF(cleaned_data!C280="West",1,0)</f>
        <v>0</v>
      </c>
    </row>
    <row r="284" customFormat="false" ht="15" hidden="false" customHeight="true" outlineLevel="0" collapsed="false">
      <c r="A284" s="1" t="str">
        <f aca="false">cleaned_data!A281</f>
        <v>STR-1070</v>
      </c>
      <c r="B284" s="3" t="n">
        <f aca="false">cleaned_data!B281</f>
        <v>45748</v>
      </c>
      <c r="C284" s="1" t="str">
        <f aca="false">cleaned_data!D281</f>
        <v>Residential</v>
      </c>
      <c r="D284" s="1" t="str">
        <f aca="false">cleaned_data!C281</f>
        <v>South</v>
      </c>
      <c r="E284" s="1" t="n">
        <f aca="false">IF(cleaned_data!D281="Mall",1,0)</f>
        <v>0</v>
      </c>
      <c r="F284" s="1" t="n">
        <f aca="false">IF(cleaned_data!D281="Residential",1,0)</f>
        <v>1</v>
      </c>
      <c r="G284" s="1" t="n">
        <f aca="false">IF(cleaned_data!D281="Airport",1,0)</f>
        <v>0</v>
      </c>
      <c r="H284" s="1" t="n">
        <f aca="false">IF(cleaned_data!C281="North",1,0)</f>
        <v>0</v>
      </c>
      <c r="I284" s="1" t="n">
        <f aca="false">IF(cleaned_data!C281="South",1,0)</f>
        <v>1</v>
      </c>
      <c r="J284" s="1" t="n">
        <f aca="false">IF(cleaned_data!C281="West",1,0)</f>
        <v>0</v>
      </c>
    </row>
    <row r="285" customFormat="false" ht="15" hidden="false" customHeight="true" outlineLevel="0" collapsed="false">
      <c r="A285" s="1" t="str">
        <f aca="false">cleaned_data!A282</f>
        <v>STR-1071</v>
      </c>
      <c r="B285" s="3" t="n">
        <f aca="false">cleaned_data!B282</f>
        <v>45658</v>
      </c>
      <c r="C285" s="1" t="str">
        <f aca="false">cleaned_data!D282</f>
        <v>High Street</v>
      </c>
      <c r="D285" s="1" t="str">
        <f aca="false">cleaned_data!C282</f>
        <v>South</v>
      </c>
      <c r="E285" s="1" t="n">
        <f aca="false">IF(cleaned_data!D282="Mall",1,0)</f>
        <v>0</v>
      </c>
      <c r="F285" s="1" t="n">
        <f aca="false">IF(cleaned_data!D282="Residential",1,0)</f>
        <v>0</v>
      </c>
      <c r="G285" s="1" t="n">
        <f aca="false">IF(cleaned_data!D282="Airport",1,0)</f>
        <v>0</v>
      </c>
      <c r="H285" s="1" t="n">
        <f aca="false">IF(cleaned_data!C282="North",1,0)</f>
        <v>0</v>
      </c>
      <c r="I285" s="1" t="n">
        <f aca="false">IF(cleaned_data!C282="South",1,0)</f>
        <v>1</v>
      </c>
      <c r="J285" s="1" t="n">
        <f aca="false">IF(cleaned_data!C282="West",1,0)</f>
        <v>0</v>
      </c>
    </row>
    <row r="286" customFormat="false" ht="15" hidden="false" customHeight="true" outlineLevel="0" collapsed="false">
      <c r="A286" s="1" t="str">
        <f aca="false">cleaned_data!A283</f>
        <v>STR-1071</v>
      </c>
      <c r="B286" s="3" t="n">
        <f aca="false">cleaned_data!B283</f>
        <v>45689</v>
      </c>
      <c r="C286" s="1" t="str">
        <f aca="false">cleaned_data!D283</f>
        <v>High Street</v>
      </c>
      <c r="D286" s="1" t="str">
        <f aca="false">cleaned_data!C283</f>
        <v>South</v>
      </c>
      <c r="E286" s="1" t="n">
        <f aca="false">IF(cleaned_data!D283="Mall",1,0)</f>
        <v>0</v>
      </c>
      <c r="F286" s="1" t="n">
        <f aca="false">IF(cleaned_data!D283="Residential",1,0)</f>
        <v>0</v>
      </c>
      <c r="G286" s="1" t="n">
        <f aca="false">IF(cleaned_data!D283="Airport",1,0)</f>
        <v>0</v>
      </c>
      <c r="H286" s="1" t="n">
        <f aca="false">IF(cleaned_data!C283="North",1,0)</f>
        <v>0</v>
      </c>
      <c r="I286" s="1" t="n">
        <f aca="false">IF(cleaned_data!C283="South",1,0)</f>
        <v>1</v>
      </c>
      <c r="J286" s="1" t="n">
        <f aca="false">IF(cleaned_data!C283="West",1,0)</f>
        <v>0</v>
      </c>
    </row>
    <row r="287" customFormat="false" ht="15" hidden="false" customHeight="true" outlineLevel="0" collapsed="false">
      <c r="A287" s="1" t="str">
        <f aca="false">cleaned_data!A284</f>
        <v>STR-1071</v>
      </c>
      <c r="B287" s="3" t="n">
        <f aca="false">cleaned_data!B284</f>
        <v>45717</v>
      </c>
      <c r="C287" s="1" t="str">
        <f aca="false">cleaned_data!D284</f>
        <v>High Street</v>
      </c>
      <c r="D287" s="1" t="str">
        <f aca="false">cleaned_data!C284</f>
        <v>South</v>
      </c>
      <c r="E287" s="1" t="n">
        <f aca="false">IF(cleaned_data!D284="Mall",1,0)</f>
        <v>0</v>
      </c>
      <c r="F287" s="1" t="n">
        <f aca="false">IF(cleaned_data!D284="Residential",1,0)</f>
        <v>0</v>
      </c>
      <c r="G287" s="1" t="n">
        <f aca="false">IF(cleaned_data!D284="Airport",1,0)</f>
        <v>0</v>
      </c>
      <c r="H287" s="1" t="n">
        <f aca="false">IF(cleaned_data!C284="North",1,0)</f>
        <v>0</v>
      </c>
      <c r="I287" s="1" t="n">
        <f aca="false">IF(cleaned_data!C284="South",1,0)</f>
        <v>1</v>
      </c>
      <c r="J287" s="1" t="n">
        <f aca="false">IF(cleaned_data!C284="West",1,0)</f>
        <v>0</v>
      </c>
    </row>
    <row r="288" customFormat="false" ht="15" hidden="false" customHeight="true" outlineLevel="0" collapsed="false">
      <c r="A288" s="1" t="str">
        <f aca="false">cleaned_data!A285</f>
        <v>STR-1071</v>
      </c>
      <c r="B288" s="3" t="n">
        <f aca="false">cleaned_data!B285</f>
        <v>45748</v>
      </c>
      <c r="C288" s="1" t="str">
        <f aca="false">cleaned_data!D285</f>
        <v>High Street</v>
      </c>
      <c r="D288" s="1" t="str">
        <f aca="false">cleaned_data!C285</f>
        <v>South</v>
      </c>
      <c r="E288" s="1" t="n">
        <f aca="false">IF(cleaned_data!D285="Mall",1,0)</f>
        <v>0</v>
      </c>
      <c r="F288" s="1" t="n">
        <f aca="false">IF(cleaned_data!D285="Residential",1,0)</f>
        <v>0</v>
      </c>
      <c r="G288" s="1" t="n">
        <f aca="false">IF(cleaned_data!D285="Airport",1,0)</f>
        <v>0</v>
      </c>
      <c r="H288" s="1" t="n">
        <f aca="false">IF(cleaned_data!C285="North",1,0)</f>
        <v>0</v>
      </c>
      <c r="I288" s="1" t="n">
        <f aca="false">IF(cleaned_data!C285="South",1,0)</f>
        <v>1</v>
      </c>
      <c r="J288" s="1" t="n">
        <f aca="false">IF(cleaned_data!C285="West",1,0)</f>
        <v>0</v>
      </c>
    </row>
    <row r="289" customFormat="false" ht="15" hidden="false" customHeight="true" outlineLevel="0" collapsed="false">
      <c r="A289" s="1" t="str">
        <f aca="false">cleaned_data!A286</f>
        <v>STR-1072</v>
      </c>
      <c r="B289" s="3" t="n">
        <f aca="false">cleaned_data!B286</f>
        <v>45658</v>
      </c>
      <c r="C289" s="1" t="str">
        <f aca="false">cleaned_data!D286</f>
        <v>Residential</v>
      </c>
      <c r="D289" s="1" t="str">
        <f aca="false">cleaned_data!C286</f>
        <v>West</v>
      </c>
      <c r="E289" s="1" t="n">
        <f aca="false">IF(cleaned_data!D286="Mall",1,0)</f>
        <v>0</v>
      </c>
      <c r="F289" s="1" t="n">
        <f aca="false">IF(cleaned_data!D286="Residential",1,0)</f>
        <v>1</v>
      </c>
      <c r="G289" s="1" t="n">
        <f aca="false">IF(cleaned_data!D286="Airport",1,0)</f>
        <v>0</v>
      </c>
      <c r="H289" s="1" t="n">
        <f aca="false">IF(cleaned_data!C286="North",1,0)</f>
        <v>0</v>
      </c>
      <c r="I289" s="1" t="n">
        <f aca="false">IF(cleaned_data!C286="South",1,0)</f>
        <v>0</v>
      </c>
      <c r="J289" s="1" t="n">
        <f aca="false">IF(cleaned_data!C286="West",1,0)</f>
        <v>1</v>
      </c>
    </row>
    <row r="290" customFormat="false" ht="15" hidden="false" customHeight="true" outlineLevel="0" collapsed="false">
      <c r="A290" s="1" t="str">
        <f aca="false">cleaned_data!A287</f>
        <v>STR-1072</v>
      </c>
      <c r="B290" s="3" t="n">
        <f aca="false">cleaned_data!B287</f>
        <v>45689</v>
      </c>
      <c r="C290" s="1" t="str">
        <f aca="false">cleaned_data!D287</f>
        <v>Residential</v>
      </c>
      <c r="D290" s="1" t="str">
        <f aca="false">cleaned_data!C287</f>
        <v>West</v>
      </c>
      <c r="E290" s="1" t="n">
        <f aca="false">IF(cleaned_data!D287="Mall",1,0)</f>
        <v>0</v>
      </c>
      <c r="F290" s="1" t="n">
        <f aca="false">IF(cleaned_data!D287="Residential",1,0)</f>
        <v>1</v>
      </c>
      <c r="G290" s="1" t="n">
        <f aca="false">IF(cleaned_data!D287="Airport",1,0)</f>
        <v>0</v>
      </c>
      <c r="H290" s="1" t="n">
        <f aca="false">IF(cleaned_data!C287="North",1,0)</f>
        <v>0</v>
      </c>
      <c r="I290" s="1" t="n">
        <f aca="false">IF(cleaned_data!C287="South",1,0)</f>
        <v>0</v>
      </c>
      <c r="J290" s="1" t="n">
        <f aca="false">IF(cleaned_data!C287="West",1,0)</f>
        <v>1</v>
      </c>
    </row>
    <row r="291" customFormat="false" ht="15" hidden="false" customHeight="true" outlineLevel="0" collapsed="false">
      <c r="A291" s="1" t="str">
        <f aca="false">cleaned_data!A288</f>
        <v>STR-1072</v>
      </c>
      <c r="B291" s="3" t="n">
        <f aca="false">cleaned_data!B288</f>
        <v>45717</v>
      </c>
      <c r="C291" s="1" t="str">
        <f aca="false">cleaned_data!D288</f>
        <v>Residential</v>
      </c>
      <c r="D291" s="1" t="str">
        <f aca="false">cleaned_data!C288</f>
        <v>West</v>
      </c>
      <c r="E291" s="1" t="n">
        <f aca="false">IF(cleaned_data!D288="Mall",1,0)</f>
        <v>0</v>
      </c>
      <c r="F291" s="1" t="n">
        <f aca="false">IF(cleaned_data!D288="Residential",1,0)</f>
        <v>1</v>
      </c>
      <c r="G291" s="1" t="n">
        <f aca="false">IF(cleaned_data!D288="Airport",1,0)</f>
        <v>0</v>
      </c>
      <c r="H291" s="1" t="n">
        <f aca="false">IF(cleaned_data!C288="North",1,0)</f>
        <v>0</v>
      </c>
      <c r="I291" s="1" t="n">
        <f aca="false">IF(cleaned_data!C288="South",1,0)</f>
        <v>0</v>
      </c>
      <c r="J291" s="1" t="n">
        <f aca="false">IF(cleaned_data!C288="West",1,0)</f>
        <v>1</v>
      </c>
    </row>
    <row r="292" customFormat="false" ht="15" hidden="false" customHeight="true" outlineLevel="0" collapsed="false">
      <c r="A292" s="1" t="str">
        <f aca="false">cleaned_data!A289</f>
        <v>STR-1072</v>
      </c>
      <c r="B292" s="3" t="n">
        <f aca="false">cleaned_data!B289</f>
        <v>45748</v>
      </c>
      <c r="C292" s="1" t="str">
        <f aca="false">cleaned_data!D289</f>
        <v>Residential</v>
      </c>
      <c r="D292" s="1" t="str">
        <f aca="false">cleaned_data!C289</f>
        <v>West</v>
      </c>
      <c r="E292" s="1" t="n">
        <f aca="false">IF(cleaned_data!D289="Mall",1,0)</f>
        <v>0</v>
      </c>
      <c r="F292" s="1" t="n">
        <f aca="false">IF(cleaned_data!D289="Residential",1,0)</f>
        <v>1</v>
      </c>
      <c r="G292" s="1" t="n">
        <f aca="false">IF(cleaned_data!D289="Airport",1,0)</f>
        <v>0</v>
      </c>
      <c r="H292" s="1" t="n">
        <f aca="false">IF(cleaned_data!C289="North",1,0)</f>
        <v>0</v>
      </c>
      <c r="I292" s="1" t="n">
        <f aca="false">IF(cleaned_data!C289="South",1,0)</f>
        <v>0</v>
      </c>
      <c r="J292" s="1" t="n">
        <f aca="false">IF(cleaned_data!C289="West",1,0)</f>
        <v>1</v>
      </c>
    </row>
    <row r="293" customFormat="false" ht="15" hidden="false" customHeight="true" outlineLevel="0" collapsed="false">
      <c r="A293" s="1" t="str">
        <f aca="false">cleaned_data!A290</f>
        <v>STR-1073</v>
      </c>
      <c r="B293" s="3" t="n">
        <f aca="false">cleaned_data!B290</f>
        <v>45658</v>
      </c>
      <c r="C293" s="1" t="str">
        <f aca="false">cleaned_data!D290</f>
        <v>Residential</v>
      </c>
      <c r="D293" s="1" t="str">
        <f aca="false">cleaned_data!C290</f>
        <v>East</v>
      </c>
      <c r="E293" s="1" t="n">
        <f aca="false">IF(cleaned_data!D290="Mall",1,0)</f>
        <v>0</v>
      </c>
      <c r="F293" s="1" t="n">
        <f aca="false">IF(cleaned_data!D290="Residential",1,0)</f>
        <v>1</v>
      </c>
      <c r="G293" s="1" t="n">
        <f aca="false">IF(cleaned_data!D290="Airport",1,0)</f>
        <v>0</v>
      </c>
      <c r="H293" s="1" t="n">
        <f aca="false">IF(cleaned_data!C290="North",1,0)</f>
        <v>0</v>
      </c>
      <c r="I293" s="1" t="n">
        <f aca="false">IF(cleaned_data!C290="South",1,0)</f>
        <v>0</v>
      </c>
      <c r="J293" s="1" t="n">
        <f aca="false">IF(cleaned_data!C290="West",1,0)</f>
        <v>0</v>
      </c>
    </row>
    <row r="294" customFormat="false" ht="15" hidden="false" customHeight="true" outlineLevel="0" collapsed="false">
      <c r="A294" s="1" t="str">
        <f aca="false">cleaned_data!A291</f>
        <v>STR-1073</v>
      </c>
      <c r="B294" s="3" t="n">
        <f aca="false">cleaned_data!B291</f>
        <v>45689</v>
      </c>
      <c r="C294" s="1" t="str">
        <f aca="false">cleaned_data!D291</f>
        <v>Residential</v>
      </c>
      <c r="D294" s="1" t="str">
        <f aca="false">cleaned_data!C291</f>
        <v>East</v>
      </c>
      <c r="E294" s="1" t="n">
        <f aca="false">IF(cleaned_data!D291="Mall",1,0)</f>
        <v>0</v>
      </c>
      <c r="F294" s="1" t="n">
        <f aca="false">IF(cleaned_data!D291="Residential",1,0)</f>
        <v>1</v>
      </c>
      <c r="G294" s="1" t="n">
        <f aca="false">IF(cleaned_data!D291="Airport",1,0)</f>
        <v>0</v>
      </c>
      <c r="H294" s="1" t="n">
        <f aca="false">IF(cleaned_data!C291="North",1,0)</f>
        <v>0</v>
      </c>
      <c r="I294" s="1" t="n">
        <f aca="false">IF(cleaned_data!C291="South",1,0)</f>
        <v>0</v>
      </c>
      <c r="J294" s="1" t="n">
        <f aca="false">IF(cleaned_data!C291="West",1,0)</f>
        <v>0</v>
      </c>
    </row>
    <row r="295" customFormat="false" ht="15" hidden="false" customHeight="true" outlineLevel="0" collapsed="false">
      <c r="A295" s="1" t="str">
        <f aca="false">cleaned_data!A292</f>
        <v>STR-1073</v>
      </c>
      <c r="B295" s="3" t="n">
        <f aca="false">cleaned_data!B292</f>
        <v>45717</v>
      </c>
      <c r="C295" s="1" t="str">
        <f aca="false">cleaned_data!D292</f>
        <v>Residential</v>
      </c>
      <c r="D295" s="1" t="str">
        <f aca="false">cleaned_data!C292</f>
        <v>East</v>
      </c>
      <c r="E295" s="1" t="n">
        <f aca="false">IF(cleaned_data!D292="Mall",1,0)</f>
        <v>0</v>
      </c>
      <c r="F295" s="1" t="n">
        <f aca="false">IF(cleaned_data!D292="Residential",1,0)</f>
        <v>1</v>
      </c>
      <c r="G295" s="1" t="n">
        <f aca="false">IF(cleaned_data!D292="Airport",1,0)</f>
        <v>0</v>
      </c>
      <c r="H295" s="1" t="n">
        <f aca="false">IF(cleaned_data!C292="North",1,0)</f>
        <v>0</v>
      </c>
      <c r="I295" s="1" t="n">
        <f aca="false">IF(cleaned_data!C292="South",1,0)</f>
        <v>0</v>
      </c>
      <c r="J295" s="1" t="n">
        <f aca="false">IF(cleaned_data!C292="West",1,0)</f>
        <v>0</v>
      </c>
    </row>
    <row r="296" customFormat="false" ht="15" hidden="false" customHeight="true" outlineLevel="0" collapsed="false">
      <c r="A296" s="1" t="str">
        <f aca="false">cleaned_data!A293</f>
        <v>STR-1073</v>
      </c>
      <c r="B296" s="3" t="n">
        <f aca="false">cleaned_data!B293</f>
        <v>45748</v>
      </c>
      <c r="C296" s="1" t="str">
        <f aca="false">cleaned_data!D293</f>
        <v>Residential</v>
      </c>
      <c r="D296" s="1" t="str">
        <f aca="false">cleaned_data!C293</f>
        <v>East</v>
      </c>
      <c r="E296" s="1" t="n">
        <f aca="false">IF(cleaned_data!D293="Mall",1,0)</f>
        <v>0</v>
      </c>
      <c r="F296" s="1" t="n">
        <f aca="false">IF(cleaned_data!D293="Residential",1,0)</f>
        <v>1</v>
      </c>
      <c r="G296" s="1" t="n">
        <f aca="false">IF(cleaned_data!D293="Airport",1,0)</f>
        <v>0</v>
      </c>
      <c r="H296" s="1" t="n">
        <f aca="false">IF(cleaned_data!C293="North",1,0)</f>
        <v>0</v>
      </c>
      <c r="I296" s="1" t="n">
        <f aca="false">IF(cleaned_data!C293="South",1,0)</f>
        <v>0</v>
      </c>
      <c r="J296" s="1" t="n">
        <f aca="false">IF(cleaned_data!C293="West",1,0)</f>
        <v>0</v>
      </c>
    </row>
    <row r="297" customFormat="false" ht="15" hidden="false" customHeight="true" outlineLevel="0" collapsed="false">
      <c r="A297" s="1" t="str">
        <f aca="false">cleaned_data!A294</f>
        <v>STR-1074</v>
      </c>
      <c r="B297" s="3" t="n">
        <f aca="false">cleaned_data!B294</f>
        <v>45658</v>
      </c>
      <c r="C297" s="1" t="str">
        <f aca="false">cleaned_data!D294</f>
        <v>High Street</v>
      </c>
      <c r="D297" s="1" t="str">
        <f aca="false">cleaned_data!C294</f>
        <v>West</v>
      </c>
      <c r="E297" s="1" t="n">
        <f aca="false">IF(cleaned_data!D294="Mall",1,0)</f>
        <v>0</v>
      </c>
      <c r="F297" s="1" t="n">
        <f aca="false">IF(cleaned_data!D294="Residential",1,0)</f>
        <v>0</v>
      </c>
      <c r="G297" s="1" t="n">
        <f aca="false">IF(cleaned_data!D294="Airport",1,0)</f>
        <v>0</v>
      </c>
      <c r="H297" s="1" t="n">
        <f aca="false">IF(cleaned_data!C294="North",1,0)</f>
        <v>0</v>
      </c>
      <c r="I297" s="1" t="n">
        <f aca="false">IF(cleaned_data!C294="South",1,0)</f>
        <v>0</v>
      </c>
      <c r="J297" s="1" t="n">
        <f aca="false">IF(cleaned_data!C294="West",1,0)</f>
        <v>1</v>
      </c>
    </row>
    <row r="298" customFormat="false" ht="15" hidden="false" customHeight="true" outlineLevel="0" collapsed="false">
      <c r="A298" s="1" t="str">
        <f aca="false">cleaned_data!A295</f>
        <v>STR-1074</v>
      </c>
      <c r="B298" s="3" t="n">
        <f aca="false">cleaned_data!B295</f>
        <v>45689</v>
      </c>
      <c r="C298" s="1" t="str">
        <f aca="false">cleaned_data!D295</f>
        <v>High Street</v>
      </c>
      <c r="D298" s="1" t="str">
        <f aca="false">cleaned_data!C295</f>
        <v>West</v>
      </c>
      <c r="E298" s="1" t="n">
        <f aca="false">IF(cleaned_data!D295="Mall",1,0)</f>
        <v>0</v>
      </c>
      <c r="F298" s="1" t="n">
        <f aca="false">IF(cleaned_data!D295="Residential",1,0)</f>
        <v>0</v>
      </c>
      <c r="G298" s="1" t="n">
        <f aca="false">IF(cleaned_data!D295="Airport",1,0)</f>
        <v>0</v>
      </c>
      <c r="H298" s="1" t="n">
        <f aca="false">IF(cleaned_data!C295="North",1,0)</f>
        <v>0</v>
      </c>
      <c r="I298" s="1" t="n">
        <f aca="false">IF(cleaned_data!C295="South",1,0)</f>
        <v>0</v>
      </c>
      <c r="J298" s="1" t="n">
        <f aca="false">IF(cleaned_data!C295="West",1,0)</f>
        <v>1</v>
      </c>
    </row>
    <row r="299" customFormat="false" ht="15" hidden="false" customHeight="true" outlineLevel="0" collapsed="false">
      <c r="A299" s="1" t="str">
        <f aca="false">cleaned_data!A296</f>
        <v>STR-1074</v>
      </c>
      <c r="B299" s="3" t="n">
        <f aca="false">cleaned_data!B296</f>
        <v>45717</v>
      </c>
      <c r="C299" s="1" t="str">
        <f aca="false">cleaned_data!D296</f>
        <v>High Street</v>
      </c>
      <c r="D299" s="1" t="str">
        <f aca="false">cleaned_data!C296</f>
        <v>West</v>
      </c>
      <c r="E299" s="1" t="n">
        <f aca="false">IF(cleaned_data!D296="Mall",1,0)</f>
        <v>0</v>
      </c>
      <c r="F299" s="1" t="n">
        <f aca="false">IF(cleaned_data!D296="Residential",1,0)</f>
        <v>0</v>
      </c>
      <c r="G299" s="1" t="n">
        <f aca="false">IF(cleaned_data!D296="Airport",1,0)</f>
        <v>0</v>
      </c>
      <c r="H299" s="1" t="n">
        <f aca="false">IF(cleaned_data!C296="North",1,0)</f>
        <v>0</v>
      </c>
      <c r="I299" s="1" t="n">
        <f aca="false">IF(cleaned_data!C296="South",1,0)</f>
        <v>0</v>
      </c>
      <c r="J299" s="1" t="n">
        <f aca="false">IF(cleaned_data!C296="West",1,0)</f>
        <v>1</v>
      </c>
    </row>
    <row r="300" customFormat="false" ht="15" hidden="false" customHeight="true" outlineLevel="0" collapsed="false">
      <c r="A300" s="1" t="str">
        <f aca="false">cleaned_data!A297</f>
        <v>STR-1074</v>
      </c>
      <c r="B300" s="3" t="n">
        <f aca="false">cleaned_data!B297</f>
        <v>45748</v>
      </c>
      <c r="C300" s="1" t="str">
        <f aca="false">cleaned_data!D297</f>
        <v>High Street</v>
      </c>
      <c r="D300" s="1" t="str">
        <f aca="false">cleaned_data!C297</f>
        <v>West</v>
      </c>
      <c r="E300" s="1" t="n">
        <f aca="false">IF(cleaned_data!D297="Mall",1,0)</f>
        <v>0</v>
      </c>
      <c r="F300" s="1" t="n">
        <f aca="false">IF(cleaned_data!D297="Residential",1,0)</f>
        <v>0</v>
      </c>
      <c r="G300" s="1" t="n">
        <f aca="false">IF(cleaned_data!D297="Airport",1,0)</f>
        <v>0</v>
      </c>
      <c r="H300" s="1" t="n">
        <f aca="false">IF(cleaned_data!C297="North",1,0)</f>
        <v>0</v>
      </c>
      <c r="I300" s="1" t="n">
        <f aca="false">IF(cleaned_data!C297="South",1,0)</f>
        <v>0</v>
      </c>
      <c r="J300" s="1" t="n">
        <f aca="false">IF(cleaned_data!C297="West",1,0)</f>
        <v>1</v>
      </c>
    </row>
    <row r="301" customFormat="false" ht="15" hidden="false" customHeight="true" outlineLevel="0" collapsed="false">
      <c r="A301" s="1" t="str">
        <f aca="false">cleaned_data!A298</f>
        <v>STR-1075</v>
      </c>
      <c r="B301" s="3" t="n">
        <f aca="false">cleaned_data!B298</f>
        <v>45658</v>
      </c>
      <c r="C301" s="1" t="str">
        <f aca="false">cleaned_data!D298</f>
        <v>High Street</v>
      </c>
      <c r="D301" s="1" t="str">
        <f aca="false">cleaned_data!C298</f>
        <v>West</v>
      </c>
      <c r="E301" s="1" t="n">
        <f aca="false">IF(cleaned_data!D298="Mall",1,0)</f>
        <v>0</v>
      </c>
      <c r="F301" s="1" t="n">
        <f aca="false">IF(cleaned_data!D298="Residential",1,0)</f>
        <v>0</v>
      </c>
      <c r="G301" s="1" t="n">
        <f aca="false">IF(cleaned_data!D298="Airport",1,0)</f>
        <v>0</v>
      </c>
      <c r="H301" s="1" t="n">
        <f aca="false">IF(cleaned_data!C298="North",1,0)</f>
        <v>0</v>
      </c>
      <c r="I301" s="1" t="n">
        <f aca="false">IF(cleaned_data!C298="South",1,0)</f>
        <v>0</v>
      </c>
      <c r="J301" s="1" t="n">
        <f aca="false">IF(cleaned_data!C298="West",1,0)</f>
        <v>1</v>
      </c>
    </row>
    <row r="302" customFormat="false" ht="15" hidden="false" customHeight="true" outlineLevel="0" collapsed="false">
      <c r="A302" s="1" t="str">
        <f aca="false">cleaned_data!A299</f>
        <v>STR-1075</v>
      </c>
      <c r="B302" s="3" t="n">
        <f aca="false">cleaned_data!B299</f>
        <v>45689</v>
      </c>
      <c r="C302" s="1" t="str">
        <f aca="false">cleaned_data!D299</f>
        <v>High Street</v>
      </c>
      <c r="D302" s="1" t="str">
        <f aca="false">cleaned_data!C299</f>
        <v>West</v>
      </c>
      <c r="E302" s="1" t="n">
        <f aca="false">IF(cleaned_data!D299="Mall",1,0)</f>
        <v>0</v>
      </c>
      <c r="F302" s="1" t="n">
        <f aca="false">IF(cleaned_data!D299="Residential",1,0)</f>
        <v>0</v>
      </c>
      <c r="G302" s="1" t="n">
        <f aca="false">IF(cleaned_data!D299="Airport",1,0)</f>
        <v>0</v>
      </c>
      <c r="H302" s="1" t="n">
        <f aca="false">IF(cleaned_data!C299="North",1,0)</f>
        <v>0</v>
      </c>
      <c r="I302" s="1" t="n">
        <f aca="false">IF(cleaned_data!C299="South",1,0)</f>
        <v>0</v>
      </c>
      <c r="J302" s="1" t="n">
        <f aca="false">IF(cleaned_data!C299="West",1,0)</f>
        <v>1</v>
      </c>
    </row>
    <row r="303" customFormat="false" ht="15" hidden="false" customHeight="true" outlineLevel="0" collapsed="false">
      <c r="A303" s="1" t="str">
        <f aca="false">cleaned_data!A300</f>
        <v>STR-1075</v>
      </c>
      <c r="B303" s="3" t="n">
        <f aca="false">cleaned_data!B300</f>
        <v>45717</v>
      </c>
      <c r="C303" s="1" t="str">
        <f aca="false">cleaned_data!D300</f>
        <v>High Street</v>
      </c>
      <c r="D303" s="1" t="str">
        <f aca="false">cleaned_data!C300</f>
        <v>West</v>
      </c>
      <c r="E303" s="1" t="n">
        <f aca="false">IF(cleaned_data!D300="Mall",1,0)</f>
        <v>0</v>
      </c>
      <c r="F303" s="1" t="n">
        <f aca="false">IF(cleaned_data!D300="Residential",1,0)</f>
        <v>0</v>
      </c>
      <c r="G303" s="1" t="n">
        <f aca="false">IF(cleaned_data!D300="Airport",1,0)</f>
        <v>0</v>
      </c>
      <c r="H303" s="1" t="n">
        <f aca="false">IF(cleaned_data!C300="North",1,0)</f>
        <v>0</v>
      </c>
      <c r="I303" s="1" t="n">
        <f aca="false">IF(cleaned_data!C300="South",1,0)</f>
        <v>0</v>
      </c>
      <c r="J303" s="1" t="n">
        <f aca="false">IF(cleaned_data!C300="West",1,0)</f>
        <v>1</v>
      </c>
    </row>
    <row r="304" customFormat="false" ht="15" hidden="false" customHeight="true" outlineLevel="0" collapsed="false">
      <c r="A304" s="1" t="str">
        <f aca="false">cleaned_data!A301</f>
        <v>STR-1075</v>
      </c>
      <c r="B304" s="3" t="n">
        <f aca="false">cleaned_data!B301</f>
        <v>45748</v>
      </c>
      <c r="C304" s="1" t="str">
        <f aca="false">cleaned_data!D301</f>
        <v>High Street</v>
      </c>
      <c r="D304" s="1" t="str">
        <f aca="false">cleaned_data!C301</f>
        <v>West</v>
      </c>
      <c r="E304" s="1" t="n">
        <f aca="false">IF(cleaned_data!D301="Mall",1,0)</f>
        <v>0</v>
      </c>
      <c r="F304" s="1" t="n">
        <f aca="false">IF(cleaned_data!D301="Residential",1,0)</f>
        <v>0</v>
      </c>
      <c r="G304" s="1" t="n">
        <f aca="false">IF(cleaned_data!D301="Airport",1,0)</f>
        <v>0</v>
      </c>
      <c r="H304" s="1" t="n">
        <f aca="false">IF(cleaned_data!C301="North",1,0)</f>
        <v>0</v>
      </c>
      <c r="I304" s="1" t="n">
        <f aca="false">IF(cleaned_data!C301="South",1,0)</f>
        <v>0</v>
      </c>
      <c r="J304" s="1" t="n">
        <f aca="false">IF(cleaned_data!C301="West",1,0)</f>
        <v>1</v>
      </c>
    </row>
    <row r="305" customFormat="false" ht="15" hidden="false" customHeight="true" outlineLevel="0" collapsed="false">
      <c r="A305" s="1" t="str">
        <f aca="false">cleaned_data!A302</f>
        <v>STR-1076</v>
      </c>
      <c r="B305" s="3" t="n">
        <f aca="false">cleaned_data!B302</f>
        <v>45658</v>
      </c>
      <c r="C305" s="1" t="str">
        <f aca="false">cleaned_data!D302</f>
        <v>Mall</v>
      </c>
      <c r="D305" s="1" t="str">
        <f aca="false">cleaned_data!C302</f>
        <v>North</v>
      </c>
      <c r="E305" s="1" t="n">
        <f aca="false">IF(cleaned_data!D302="Mall",1,0)</f>
        <v>1</v>
      </c>
      <c r="F305" s="1" t="n">
        <f aca="false">IF(cleaned_data!D302="Residential",1,0)</f>
        <v>0</v>
      </c>
      <c r="G305" s="1" t="n">
        <f aca="false">IF(cleaned_data!D302="Airport",1,0)</f>
        <v>0</v>
      </c>
      <c r="H305" s="1" t="n">
        <f aca="false">IF(cleaned_data!C302="North",1,0)</f>
        <v>1</v>
      </c>
      <c r="I305" s="1" t="n">
        <f aca="false">IF(cleaned_data!C302="South",1,0)</f>
        <v>0</v>
      </c>
      <c r="J305" s="1" t="n">
        <f aca="false">IF(cleaned_data!C302="West",1,0)</f>
        <v>0</v>
      </c>
    </row>
    <row r="306" customFormat="false" ht="15" hidden="false" customHeight="true" outlineLevel="0" collapsed="false">
      <c r="A306" s="1" t="str">
        <f aca="false">cleaned_data!A303</f>
        <v>STR-1076</v>
      </c>
      <c r="B306" s="3" t="n">
        <f aca="false">cleaned_data!B303</f>
        <v>45689</v>
      </c>
      <c r="C306" s="1" t="str">
        <f aca="false">cleaned_data!D303</f>
        <v>Mall</v>
      </c>
      <c r="D306" s="1" t="str">
        <f aca="false">cleaned_data!C303</f>
        <v>North</v>
      </c>
      <c r="E306" s="1" t="n">
        <f aca="false">IF(cleaned_data!D303="Mall",1,0)</f>
        <v>1</v>
      </c>
      <c r="F306" s="1" t="n">
        <f aca="false">IF(cleaned_data!D303="Residential",1,0)</f>
        <v>0</v>
      </c>
      <c r="G306" s="1" t="n">
        <f aca="false">IF(cleaned_data!D303="Airport",1,0)</f>
        <v>0</v>
      </c>
      <c r="H306" s="1" t="n">
        <f aca="false">IF(cleaned_data!C303="North",1,0)</f>
        <v>1</v>
      </c>
      <c r="I306" s="1" t="n">
        <f aca="false">IF(cleaned_data!C303="South",1,0)</f>
        <v>0</v>
      </c>
      <c r="J306" s="1" t="n">
        <f aca="false">IF(cleaned_data!C303="West",1,0)</f>
        <v>0</v>
      </c>
    </row>
    <row r="307" customFormat="false" ht="15" hidden="false" customHeight="true" outlineLevel="0" collapsed="false">
      <c r="A307" s="1" t="str">
        <f aca="false">cleaned_data!A304</f>
        <v>STR-1076</v>
      </c>
      <c r="B307" s="3" t="n">
        <f aca="false">cleaned_data!B304</f>
        <v>45717</v>
      </c>
      <c r="C307" s="1" t="str">
        <f aca="false">cleaned_data!D304</f>
        <v>Mall</v>
      </c>
      <c r="D307" s="1" t="str">
        <f aca="false">cleaned_data!C304</f>
        <v>North</v>
      </c>
      <c r="E307" s="1" t="n">
        <f aca="false">IF(cleaned_data!D304="Mall",1,0)</f>
        <v>1</v>
      </c>
      <c r="F307" s="1" t="n">
        <f aca="false">IF(cleaned_data!D304="Residential",1,0)</f>
        <v>0</v>
      </c>
      <c r="G307" s="1" t="n">
        <f aca="false">IF(cleaned_data!D304="Airport",1,0)</f>
        <v>0</v>
      </c>
      <c r="H307" s="1" t="n">
        <f aca="false">IF(cleaned_data!C304="North",1,0)</f>
        <v>1</v>
      </c>
      <c r="I307" s="1" t="n">
        <f aca="false">IF(cleaned_data!C304="South",1,0)</f>
        <v>0</v>
      </c>
      <c r="J307" s="1" t="n">
        <f aca="false">IF(cleaned_data!C304="West",1,0)</f>
        <v>0</v>
      </c>
    </row>
    <row r="308" customFormat="false" ht="15" hidden="false" customHeight="true" outlineLevel="0" collapsed="false">
      <c r="A308" s="1" t="str">
        <f aca="false">cleaned_data!A305</f>
        <v>STR-1076</v>
      </c>
      <c r="B308" s="3" t="n">
        <f aca="false">cleaned_data!B305</f>
        <v>45748</v>
      </c>
      <c r="C308" s="1" t="str">
        <f aca="false">cleaned_data!D305</f>
        <v>Mall</v>
      </c>
      <c r="D308" s="1" t="str">
        <f aca="false">cleaned_data!C305</f>
        <v>North</v>
      </c>
      <c r="E308" s="1" t="n">
        <f aca="false">IF(cleaned_data!D305="Mall",1,0)</f>
        <v>1</v>
      </c>
      <c r="F308" s="1" t="n">
        <f aca="false">IF(cleaned_data!D305="Residential",1,0)</f>
        <v>0</v>
      </c>
      <c r="G308" s="1" t="n">
        <f aca="false">IF(cleaned_data!D305="Airport",1,0)</f>
        <v>0</v>
      </c>
      <c r="H308" s="1" t="n">
        <f aca="false">IF(cleaned_data!C305="North",1,0)</f>
        <v>1</v>
      </c>
      <c r="I308" s="1" t="n">
        <f aca="false">IF(cleaned_data!C305="South",1,0)</f>
        <v>0</v>
      </c>
      <c r="J308" s="1" t="n">
        <f aca="false">IF(cleaned_data!C305="West",1,0)</f>
        <v>0</v>
      </c>
    </row>
    <row r="309" customFormat="false" ht="15" hidden="false" customHeight="true" outlineLevel="0" collapsed="false">
      <c r="A309" s="1" t="str">
        <f aca="false">cleaned_data!A306</f>
        <v>STR-1077</v>
      </c>
      <c r="B309" s="3" t="n">
        <f aca="false">cleaned_data!B306</f>
        <v>45658</v>
      </c>
      <c r="C309" s="1" t="str">
        <f aca="false">cleaned_data!D306</f>
        <v>Residential</v>
      </c>
      <c r="D309" s="1" t="str">
        <f aca="false">cleaned_data!C306</f>
        <v>South</v>
      </c>
      <c r="E309" s="1" t="n">
        <f aca="false">IF(cleaned_data!D306="Mall",1,0)</f>
        <v>0</v>
      </c>
      <c r="F309" s="1" t="n">
        <f aca="false">IF(cleaned_data!D306="Residential",1,0)</f>
        <v>1</v>
      </c>
      <c r="G309" s="1" t="n">
        <f aca="false">IF(cleaned_data!D306="Airport",1,0)</f>
        <v>0</v>
      </c>
      <c r="H309" s="1" t="n">
        <f aca="false">IF(cleaned_data!C306="North",1,0)</f>
        <v>0</v>
      </c>
      <c r="I309" s="1" t="n">
        <f aca="false">IF(cleaned_data!C306="South",1,0)</f>
        <v>1</v>
      </c>
      <c r="J309" s="1" t="n">
        <f aca="false">IF(cleaned_data!C306="West",1,0)</f>
        <v>0</v>
      </c>
    </row>
    <row r="310" customFormat="false" ht="15" hidden="false" customHeight="true" outlineLevel="0" collapsed="false">
      <c r="A310" s="1" t="str">
        <f aca="false">cleaned_data!A307</f>
        <v>STR-1077</v>
      </c>
      <c r="B310" s="3" t="n">
        <f aca="false">cleaned_data!B307</f>
        <v>45689</v>
      </c>
      <c r="C310" s="1" t="str">
        <f aca="false">cleaned_data!D307</f>
        <v>Residential</v>
      </c>
      <c r="D310" s="1" t="str">
        <f aca="false">cleaned_data!C307</f>
        <v>South</v>
      </c>
      <c r="E310" s="1" t="n">
        <f aca="false">IF(cleaned_data!D307="Mall",1,0)</f>
        <v>0</v>
      </c>
      <c r="F310" s="1" t="n">
        <f aca="false">IF(cleaned_data!D307="Residential",1,0)</f>
        <v>1</v>
      </c>
      <c r="G310" s="1" t="n">
        <f aca="false">IF(cleaned_data!D307="Airport",1,0)</f>
        <v>0</v>
      </c>
      <c r="H310" s="1" t="n">
        <f aca="false">IF(cleaned_data!C307="North",1,0)</f>
        <v>0</v>
      </c>
      <c r="I310" s="1" t="n">
        <f aca="false">IF(cleaned_data!C307="South",1,0)</f>
        <v>1</v>
      </c>
      <c r="J310" s="1" t="n">
        <f aca="false">IF(cleaned_data!C307="West",1,0)</f>
        <v>0</v>
      </c>
    </row>
    <row r="311" customFormat="false" ht="15" hidden="false" customHeight="true" outlineLevel="0" collapsed="false">
      <c r="A311" s="1" t="str">
        <f aca="false">cleaned_data!A308</f>
        <v>STR-1077</v>
      </c>
      <c r="B311" s="3" t="n">
        <f aca="false">cleaned_data!B308</f>
        <v>45717</v>
      </c>
      <c r="C311" s="1" t="str">
        <f aca="false">cleaned_data!D308</f>
        <v>Residential</v>
      </c>
      <c r="D311" s="1" t="str">
        <f aca="false">cleaned_data!C308</f>
        <v>South</v>
      </c>
      <c r="E311" s="1" t="n">
        <f aca="false">IF(cleaned_data!D308="Mall",1,0)</f>
        <v>0</v>
      </c>
      <c r="F311" s="1" t="n">
        <f aca="false">IF(cleaned_data!D308="Residential",1,0)</f>
        <v>1</v>
      </c>
      <c r="G311" s="1" t="n">
        <f aca="false">IF(cleaned_data!D308="Airport",1,0)</f>
        <v>0</v>
      </c>
      <c r="H311" s="1" t="n">
        <f aca="false">IF(cleaned_data!C308="North",1,0)</f>
        <v>0</v>
      </c>
      <c r="I311" s="1" t="n">
        <f aca="false">IF(cleaned_data!C308="South",1,0)</f>
        <v>1</v>
      </c>
      <c r="J311" s="1" t="n">
        <f aca="false">IF(cleaned_data!C308="West",1,0)</f>
        <v>0</v>
      </c>
    </row>
    <row r="312" customFormat="false" ht="15" hidden="false" customHeight="true" outlineLevel="0" collapsed="false">
      <c r="A312" s="1" t="str">
        <f aca="false">cleaned_data!A309</f>
        <v>STR-1077</v>
      </c>
      <c r="B312" s="3" t="n">
        <f aca="false">cleaned_data!B309</f>
        <v>45748</v>
      </c>
      <c r="C312" s="1" t="str">
        <f aca="false">cleaned_data!D309</f>
        <v>Residential</v>
      </c>
      <c r="D312" s="1" t="str">
        <f aca="false">cleaned_data!C309</f>
        <v>South</v>
      </c>
      <c r="E312" s="1" t="n">
        <f aca="false">IF(cleaned_data!D309="Mall",1,0)</f>
        <v>0</v>
      </c>
      <c r="F312" s="1" t="n">
        <f aca="false">IF(cleaned_data!D309="Residential",1,0)</f>
        <v>1</v>
      </c>
      <c r="G312" s="1" t="n">
        <f aca="false">IF(cleaned_data!D309="Airport",1,0)</f>
        <v>0</v>
      </c>
      <c r="H312" s="1" t="n">
        <f aca="false">IF(cleaned_data!C309="North",1,0)</f>
        <v>0</v>
      </c>
      <c r="I312" s="1" t="n">
        <f aca="false">IF(cleaned_data!C309="South",1,0)</f>
        <v>1</v>
      </c>
      <c r="J312" s="1" t="n">
        <f aca="false">IF(cleaned_data!C309="West",1,0)</f>
        <v>0</v>
      </c>
    </row>
    <row r="313" customFormat="false" ht="15" hidden="false" customHeight="true" outlineLevel="0" collapsed="false">
      <c r="A313" s="1" t="str">
        <f aca="false">cleaned_data!A310</f>
        <v>STR-1078</v>
      </c>
      <c r="B313" s="3" t="n">
        <f aca="false">cleaned_data!B310</f>
        <v>45658</v>
      </c>
      <c r="C313" s="1" t="str">
        <f aca="false">cleaned_data!D310</f>
        <v>High Street</v>
      </c>
      <c r="D313" s="1" t="str">
        <f aca="false">cleaned_data!C310</f>
        <v>South</v>
      </c>
      <c r="E313" s="1" t="n">
        <f aca="false">IF(cleaned_data!D310="Mall",1,0)</f>
        <v>0</v>
      </c>
      <c r="F313" s="1" t="n">
        <f aca="false">IF(cleaned_data!D310="Residential",1,0)</f>
        <v>0</v>
      </c>
      <c r="G313" s="1" t="n">
        <f aca="false">IF(cleaned_data!D310="Airport",1,0)</f>
        <v>0</v>
      </c>
      <c r="H313" s="1" t="n">
        <f aca="false">IF(cleaned_data!C310="North",1,0)</f>
        <v>0</v>
      </c>
      <c r="I313" s="1" t="n">
        <f aca="false">IF(cleaned_data!C310="South",1,0)</f>
        <v>1</v>
      </c>
      <c r="J313" s="1" t="n">
        <f aca="false">IF(cleaned_data!C310="West",1,0)</f>
        <v>0</v>
      </c>
    </row>
    <row r="314" customFormat="false" ht="15" hidden="false" customHeight="true" outlineLevel="0" collapsed="false">
      <c r="A314" s="1" t="str">
        <f aca="false">cleaned_data!A311</f>
        <v>STR-1078</v>
      </c>
      <c r="B314" s="3" t="n">
        <f aca="false">cleaned_data!B311</f>
        <v>45689</v>
      </c>
      <c r="C314" s="1" t="str">
        <f aca="false">cleaned_data!D311</f>
        <v>High Street</v>
      </c>
      <c r="D314" s="1" t="str">
        <f aca="false">cleaned_data!C311</f>
        <v>South</v>
      </c>
      <c r="E314" s="1" t="n">
        <f aca="false">IF(cleaned_data!D311="Mall",1,0)</f>
        <v>0</v>
      </c>
      <c r="F314" s="1" t="n">
        <f aca="false">IF(cleaned_data!D311="Residential",1,0)</f>
        <v>0</v>
      </c>
      <c r="G314" s="1" t="n">
        <f aca="false">IF(cleaned_data!D311="Airport",1,0)</f>
        <v>0</v>
      </c>
      <c r="H314" s="1" t="n">
        <f aca="false">IF(cleaned_data!C311="North",1,0)</f>
        <v>0</v>
      </c>
      <c r="I314" s="1" t="n">
        <f aca="false">IF(cleaned_data!C311="South",1,0)</f>
        <v>1</v>
      </c>
      <c r="J314" s="1" t="n">
        <f aca="false">IF(cleaned_data!C311="West",1,0)</f>
        <v>0</v>
      </c>
    </row>
    <row r="315" customFormat="false" ht="15" hidden="false" customHeight="true" outlineLevel="0" collapsed="false">
      <c r="A315" s="1" t="str">
        <f aca="false">cleaned_data!A312</f>
        <v>STR-1078</v>
      </c>
      <c r="B315" s="3" t="n">
        <f aca="false">cleaned_data!B312</f>
        <v>45717</v>
      </c>
      <c r="C315" s="1" t="str">
        <f aca="false">cleaned_data!D312</f>
        <v>High Street</v>
      </c>
      <c r="D315" s="1" t="str">
        <f aca="false">cleaned_data!C312</f>
        <v>South</v>
      </c>
      <c r="E315" s="1" t="n">
        <f aca="false">IF(cleaned_data!D312="Mall",1,0)</f>
        <v>0</v>
      </c>
      <c r="F315" s="1" t="n">
        <f aca="false">IF(cleaned_data!D312="Residential",1,0)</f>
        <v>0</v>
      </c>
      <c r="G315" s="1" t="n">
        <f aca="false">IF(cleaned_data!D312="Airport",1,0)</f>
        <v>0</v>
      </c>
      <c r="H315" s="1" t="n">
        <f aca="false">IF(cleaned_data!C312="North",1,0)</f>
        <v>0</v>
      </c>
      <c r="I315" s="1" t="n">
        <f aca="false">IF(cleaned_data!C312="South",1,0)</f>
        <v>1</v>
      </c>
      <c r="J315" s="1" t="n">
        <f aca="false">IF(cleaned_data!C312="West",1,0)</f>
        <v>0</v>
      </c>
    </row>
    <row r="316" customFormat="false" ht="15" hidden="false" customHeight="true" outlineLevel="0" collapsed="false">
      <c r="A316" s="1" t="str">
        <f aca="false">cleaned_data!A313</f>
        <v>STR-1078</v>
      </c>
      <c r="B316" s="3" t="n">
        <f aca="false">cleaned_data!B313</f>
        <v>45748</v>
      </c>
      <c r="C316" s="1" t="str">
        <f aca="false">cleaned_data!D313</f>
        <v>High Street</v>
      </c>
      <c r="D316" s="1" t="str">
        <f aca="false">cleaned_data!C313</f>
        <v>South</v>
      </c>
      <c r="E316" s="1" t="n">
        <f aca="false">IF(cleaned_data!D313="Mall",1,0)</f>
        <v>0</v>
      </c>
      <c r="F316" s="1" t="n">
        <f aca="false">IF(cleaned_data!D313="Residential",1,0)</f>
        <v>0</v>
      </c>
      <c r="G316" s="1" t="n">
        <f aca="false">IF(cleaned_data!D313="Airport",1,0)</f>
        <v>0</v>
      </c>
      <c r="H316" s="1" t="n">
        <f aca="false">IF(cleaned_data!C313="North",1,0)</f>
        <v>0</v>
      </c>
      <c r="I316" s="1" t="n">
        <f aca="false">IF(cleaned_data!C313="South",1,0)</f>
        <v>1</v>
      </c>
      <c r="J316" s="1" t="n">
        <f aca="false">IF(cleaned_data!C313="West",1,0)</f>
        <v>0</v>
      </c>
    </row>
    <row r="317" customFormat="false" ht="15" hidden="false" customHeight="true" outlineLevel="0" collapsed="false">
      <c r="A317" s="1" t="str">
        <f aca="false">cleaned_data!A314</f>
        <v>STR-1079</v>
      </c>
      <c r="B317" s="3" t="n">
        <f aca="false">cleaned_data!B314</f>
        <v>45658</v>
      </c>
      <c r="C317" s="1" t="str">
        <f aca="false">cleaned_data!D314</f>
        <v>Residential</v>
      </c>
      <c r="D317" s="1" t="str">
        <f aca="false">cleaned_data!C314</f>
        <v>North</v>
      </c>
      <c r="E317" s="1" t="n">
        <f aca="false">IF(cleaned_data!D314="Mall",1,0)</f>
        <v>0</v>
      </c>
      <c r="F317" s="1" t="n">
        <f aca="false">IF(cleaned_data!D314="Residential",1,0)</f>
        <v>1</v>
      </c>
      <c r="G317" s="1" t="n">
        <f aca="false">IF(cleaned_data!D314="Airport",1,0)</f>
        <v>0</v>
      </c>
      <c r="H317" s="1" t="n">
        <f aca="false">IF(cleaned_data!C314="North",1,0)</f>
        <v>1</v>
      </c>
      <c r="I317" s="1" t="n">
        <f aca="false">IF(cleaned_data!C314="South",1,0)</f>
        <v>0</v>
      </c>
      <c r="J317" s="1" t="n">
        <f aca="false">IF(cleaned_data!C314="West",1,0)</f>
        <v>0</v>
      </c>
    </row>
    <row r="318" customFormat="false" ht="15" hidden="false" customHeight="true" outlineLevel="0" collapsed="false">
      <c r="A318" s="1" t="str">
        <f aca="false">cleaned_data!A315</f>
        <v>STR-1079</v>
      </c>
      <c r="B318" s="3" t="n">
        <f aca="false">cleaned_data!B315</f>
        <v>45689</v>
      </c>
      <c r="C318" s="1" t="str">
        <f aca="false">cleaned_data!D315</f>
        <v>Residential</v>
      </c>
      <c r="D318" s="1" t="str">
        <f aca="false">cleaned_data!C315</f>
        <v>North</v>
      </c>
      <c r="E318" s="1" t="n">
        <f aca="false">IF(cleaned_data!D315="Mall",1,0)</f>
        <v>0</v>
      </c>
      <c r="F318" s="1" t="n">
        <f aca="false">IF(cleaned_data!D315="Residential",1,0)</f>
        <v>1</v>
      </c>
      <c r="G318" s="1" t="n">
        <f aca="false">IF(cleaned_data!D315="Airport",1,0)</f>
        <v>0</v>
      </c>
      <c r="H318" s="1" t="n">
        <f aca="false">IF(cleaned_data!C315="North",1,0)</f>
        <v>1</v>
      </c>
      <c r="I318" s="1" t="n">
        <f aca="false">IF(cleaned_data!C315="South",1,0)</f>
        <v>0</v>
      </c>
      <c r="J318" s="1" t="n">
        <f aca="false">IF(cleaned_data!C315="West",1,0)</f>
        <v>0</v>
      </c>
    </row>
    <row r="319" customFormat="false" ht="15" hidden="false" customHeight="true" outlineLevel="0" collapsed="false">
      <c r="A319" s="1" t="str">
        <f aca="false">cleaned_data!A316</f>
        <v>STR-1079</v>
      </c>
      <c r="B319" s="3" t="n">
        <f aca="false">cleaned_data!B316</f>
        <v>45717</v>
      </c>
      <c r="C319" s="1" t="str">
        <f aca="false">cleaned_data!D316</f>
        <v>Residential</v>
      </c>
      <c r="D319" s="1" t="str">
        <f aca="false">cleaned_data!C316</f>
        <v>North</v>
      </c>
      <c r="E319" s="1" t="n">
        <f aca="false">IF(cleaned_data!D316="Mall",1,0)</f>
        <v>0</v>
      </c>
      <c r="F319" s="1" t="n">
        <f aca="false">IF(cleaned_data!D316="Residential",1,0)</f>
        <v>1</v>
      </c>
      <c r="G319" s="1" t="n">
        <f aca="false">IF(cleaned_data!D316="Airport",1,0)</f>
        <v>0</v>
      </c>
      <c r="H319" s="1" t="n">
        <f aca="false">IF(cleaned_data!C316="North",1,0)</f>
        <v>1</v>
      </c>
      <c r="I319" s="1" t="n">
        <f aca="false">IF(cleaned_data!C316="South",1,0)</f>
        <v>0</v>
      </c>
      <c r="J319" s="1" t="n">
        <f aca="false">IF(cleaned_data!C316="West",1,0)</f>
        <v>0</v>
      </c>
    </row>
    <row r="320" customFormat="false" ht="15" hidden="false" customHeight="true" outlineLevel="0" collapsed="false">
      <c r="A320" s="1" t="str">
        <f aca="false">cleaned_data!A317</f>
        <v>STR-1079</v>
      </c>
      <c r="B320" s="3" t="n">
        <f aca="false">cleaned_data!B317</f>
        <v>45748</v>
      </c>
      <c r="C320" s="1" t="str">
        <f aca="false">cleaned_data!D317</f>
        <v>Residential</v>
      </c>
      <c r="D320" s="1" t="str">
        <f aca="false">cleaned_data!C317</f>
        <v>North</v>
      </c>
      <c r="E320" s="1" t="n">
        <f aca="false">IF(cleaned_data!D317="Mall",1,0)</f>
        <v>0</v>
      </c>
      <c r="F320" s="1" t="n">
        <f aca="false">IF(cleaned_data!D317="Residential",1,0)</f>
        <v>1</v>
      </c>
      <c r="G320" s="1" t="n">
        <f aca="false">IF(cleaned_data!D317="Airport",1,0)</f>
        <v>0</v>
      </c>
      <c r="H320" s="1" t="n">
        <f aca="false">IF(cleaned_data!C317="North",1,0)</f>
        <v>1</v>
      </c>
      <c r="I320" s="1" t="n">
        <f aca="false">IF(cleaned_data!C317="South",1,0)</f>
        <v>0</v>
      </c>
      <c r="J320" s="1" t="n">
        <f aca="false">IF(cleaned_data!C317="West",1,0)</f>
        <v>0</v>
      </c>
    </row>
    <row r="321" customFormat="false" ht="15" hidden="false" customHeight="true" outlineLevel="0" collapsed="false">
      <c r="A321" s="1" t="str">
        <f aca="false">cleaned_data!A318</f>
        <v>STR-1080</v>
      </c>
      <c r="B321" s="3" t="n">
        <f aca="false">cleaned_data!B318</f>
        <v>45658</v>
      </c>
      <c r="C321" s="1" t="str">
        <f aca="false">cleaned_data!D318</f>
        <v>Residential</v>
      </c>
      <c r="D321" s="1" t="str">
        <f aca="false">cleaned_data!C318</f>
        <v>East</v>
      </c>
      <c r="E321" s="1" t="n">
        <f aca="false">IF(cleaned_data!D318="Mall",1,0)</f>
        <v>0</v>
      </c>
      <c r="F321" s="1" t="n">
        <f aca="false">IF(cleaned_data!D318="Residential",1,0)</f>
        <v>1</v>
      </c>
      <c r="G321" s="1" t="n">
        <f aca="false">IF(cleaned_data!D318="Airport",1,0)</f>
        <v>0</v>
      </c>
      <c r="H321" s="1" t="n">
        <f aca="false">IF(cleaned_data!C318="North",1,0)</f>
        <v>0</v>
      </c>
      <c r="I321" s="1" t="n">
        <f aca="false">IF(cleaned_data!C318="South",1,0)</f>
        <v>0</v>
      </c>
      <c r="J321" s="1" t="n">
        <f aca="false">IF(cleaned_data!C318="West",1,0)</f>
        <v>0</v>
      </c>
    </row>
    <row r="322" customFormat="false" ht="15" hidden="false" customHeight="true" outlineLevel="0" collapsed="false">
      <c r="A322" s="1" t="str">
        <f aca="false">cleaned_data!A319</f>
        <v>STR-1080</v>
      </c>
      <c r="B322" s="3" t="n">
        <f aca="false">cleaned_data!B319</f>
        <v>45689</v>
      </c>
      <c r="C322" s="1" t="str">
        <f aca="false">cleaned_data!D319</f>
        <v>Residential</v>
      </c>
      <c r="D322" s="1" t="str">
        <f aca="false">cleaned_data!C319</f>
        <v>East</v>
      </c>
      <c r="E322" s="1" t="n">
        <f aca="false">IF(cleaned_data!D319="Mall",1,0)</f>
        <v>0</v>
      </c>
      <c r="F322" s="1" t="n">
        <f aca="false">IF(cleaned_data!D319="Residential",1,0)</f>
        <v>1</v>
      </c>
      <c r="G322" s="1" t="n">
        <f aca="false">IF(cleaned_data!D319="Airport",1,0)</f>
        <v>0</v>
      </c>
      <c r="H322" s="1" t="n">
        <f aca="false">IF(cleaned_data!C319="North",1,0)</f>
        <v>0</v>
      </c>
      <c r="I322" s="1" t="n">
        <f aca="false">IF(cleaned_data!C319="South",1,0)</f>
        <v>0</v>
      </c>
      <c r="J322" s="1" t="n">
        <f aca="false">IF(cleaned_data!C319="West",1,0)</f>
        <v>0</v>
      </c>
    </row>
    <row r="323" customFormat="false" ht="15" hidden="false" customHeight="true" outlineLevel="0" collapsed="false">
      <c r="A323" s="1" t="str">
        <f aca="false">cleaned_data!A320</f>
        <v>STR-1080</v>
      </c>
      <c r="B323" s="3" t="n">
        <f aca="false">cleaned_data!B320</f>
        <v>45717</v>
      </c>
      <c r="C323" s="1" t="str">
        <f aca="false">cleaned_data!D320</f>
        <v>Residential</v>
      </c>
      <c r="D323" s="1" t="str">
        <f aca="false">cleaned_data!C320</f>
        <v>East</v>
      </c>
      <c r="E323" s="1" t="n">
        <f aca="false">IF(cleaned_data!D320="Mall",1,0)</f>
        <v>0</v>
      </c>
      <c r="F323" s="1" t="n">
        <f aca="false">IF(cleaned_data!D320="Residential",1,0)</f>
        <v>1</v>
      </c>
      <c r="G323" s="1" t="n">
        <f aca="false">IF(cleaned_data!D320="Airport",1,0)</f>
        <v>0</v>
      </c>
      <c r="H323" s="1" t="n">
        <f aca="false">IF(cleaned_data!C320="North",1,0)</f>
        <v>0</v>
      </c>
      <c r="I323" s="1" t="n">
        <f aca="false">IF(cleaned_data!C320="South",1,0)</f>
        <v>0</v>
      </c>
      <c r="J323" s="1" t="n">
        <f aca="false">IF(cleaned_data!C320="West",1,0)</f>
        <v>0</v>
      </c>
    </row>
    <row r="324" customFormat="false" ht="15" hidden="false" customHeight="true" outlineLevel="0" collapsed="false">
      <c r="A324" s="1" t="str">
        <f aca="false">cleaned_data!A321</f>
        <v>STR-1080</v>
      </c>
      <c r="B324" s="3" t="n">
        <f aca="false">cleaned_data!B321</f>
        <v>45748</v>
      </c>
      <c r="C324" s="1" t="str">
        <f aca="false">cleaned_data!D321</f>
        <v>Residential</v>
      </c>
      <c r="D324" s="1" t="str">
        <f aca="false">cleaned_data!C321</f>
        <v>East</v>
      </c>
      <c r="E324" s="1" t="n">
        <f aca="false">IF(cleaned_data!D321="Mall",1,0)</f>
        <v>0</v>
      </c>
      <c r="F324" s="1" t="n">
        <f aca="false">IF(cleaned_data!D321="Residential",1,0)</f>
        <v>1</v>
      </c>
      <c r="G324" s="1" t="n">
        <f aca="false">IF(cleaned_data!D321="Airport",1,0)</f>
        <v>0</v>
      </c>
      <c r="H324" s="1" t="n">
        <f aca="false">IF(cleaned_data!C321="North",1,0)</f>
        <v>0</v>
      </c>
      <c r="I324" s="1" t="n">
        <f aca="false">IF(cleaned_data!C321="South",1,0)</f>
        <v>0</v>
      </c>
      <c r="J324" s="1" t="n">
        <f aca="false">IF(cleaned_data!C321="West",1,0)</f>
        <v>0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4" t="s">
        <v>110</v>
      </c>
    </row>
    <row r="3" customFormat="false" ht="15" hidden="false" customHeight="true" outlineLevel="0" collapsed="false">
      <c r="A3" s="7" t="s">
        <v>111</v>
      </c>
    </row>
    <row r="4" customFormat="false" ht="15" hidden="false" customHeight="true" outlineLevel="0" collapsed="false">
      <c r="A4" s="8" t="s">
        <v>112</v>
      </c>
      <c r="B4" s="8" t="s">
        <v>113</v>
      </c>
      <c r="E4" s="8" t="s">
        <v>114</v>
      </c>
    </row>
    <row r="5" customFormat="false" ht="15" hidden="false" customHeight="true" outlineLevel="0" collapsed="false">
      <c r="A5" s="9" t="s">
        <v>115</v>
      </c>
      <c r="B5" s="10" t="n">
        <f aca="false">SLOPE(cleaned_data!M2:M321,cleaned_data!E2:E321)</f>
        <v>2.12957532758983</v>
      </c>
      <c r="E5" s="1" t="s">
        <v>116</v>
      </c>
    </row>
    <row r="6" customFormat="false" ht="15" hidden="false" customHeight="true" outlineLevel="0" collapsed="false">
      <c r="A6" s="9" t="s">
        <v>117</v>
      </c>
      <c r="B6" s="11" t="n">
        <f aca="false">INTERCEPT(cleaned_data!M2:M321,cleaned_data!E2:E321)</f>
        <v>560777.345449437</v>
      </c>
      <c r="E6" s="1" t="s">
        <v>118</v>
      </c>
    </row>
    <row r="7" customFormat="false" ht="15" hidden="false" customHeight="true" outlineLevel="0" collapsed="false">
      <c r="A7" s="9" t="s">
        <v>119</v>
      </c>
      <c r="B7" s="10" t="n">
        <f aca="false">RSQ(cleaned_data!M2:M321,cleaned_data!E2:E321)</f>
        <v>0.16724469112487</v>
      </c>
      <c r="E7" s="1" t="s">
        <v>120</v>
      </c>
    </row>
    <row r="8" customFormat="false" ht="15" hidden="false" customHeight="true" outlineLevel="0" collapsed="false">
      <c r="A8" s="9" t="s">
        <v>121</v>
      </c>
      <c r="B8" s="1" t="n">
        <f aca="false">COUNT(cleaned_data!E2:E321)</f>
        <v>320</v>
      </c>
    </row>
    <row r="9" customFormat="false" ht="15" hidden="false" customHeight="true" outlineLevel="0" collapsed="false">
      <c r="A9" s="9" t="s">
        <v>122</v>
      </c>
      <c r="B9" s="10" t="n">
        <f aca="false">STEYX(cleaned_data!M2:M321,cleaned_data!E2:E321)/SQRT(DEVSQ(cleaned_data!E2:E321))</f>
        <v>0.266478381069324</v>
      </c>
    </row>
    <row r="10" customFormat="false" ht="15" hidden="false" customHeight="true" outlineLevel="0" collapsed="false">
      <c r="A10" s="9" t="s">
        <v>123</v>
      </c>
      <c r="B10" s="10" t="n">
        <f aca="false">B5/B9</f>
        <v>7.99155008013887</v>
      </c>
    </row>
    <row r="11" customFormat="false" ht="15" hidden="false" customHeight="true" outlineLevel="0" collapsed="false">
      <c r="A11" s="12" t="s">
        <v>124</v>
      </c>
      <c r="B11" s="13" t="n">
        <f aca="false">_xlfn.T.DIST.2T(ABS(B10),B8-2)</f>
        <v>2.480061510136E-014</v>
      </c>
    </row>
    <row r="12" customFormat="false" ht="15" hidden="false" customHeight="true" outlineLevel="0" collapsed="false">
      <c r="A12" s="9" t="s">
        <v>125</v>
      </c>
      <c r="B12" s="14" t="str">
        <f aca="false">"monthly_sales = "&amp;TEXT(B6,"0.00")&amp;" + "&amp;TEXT(B5,"0.0000")&amp;" * marketing_spend"</f>
        <v>monthly_sales = 560777.35 + 2.1296 * marketing_spend</v>
      </c>
      <c r="C12" s="14"/>
      <c r="D12" s="14"/>
    </row>
    <row r="14" customFormat="false" ht="15" hidden="false" customHeight="true" outlineLevel="0" collapsed="false">
      <c r="A14" s="7" t="s">
        <v>126</v>
      </c>
    </row>
    <row r="15" customFormat="false" ht="15" hidden="false" customHeight="true" outlineLevel="0" collapsed="false">
      <c r="A15" s="8" t="s">
        <v>112</v>
      </c>
      <c r="B15" s="8" t="s">
        <v>113</v>
      </c>
      <c r="E15" s="8" t="s">
        <v>114</v>
      </c>
    </row>
    <row r="16" customFormat="false" ht="15" hidden="false" customHeight="true" outlineLevel="0" collapsed="false">
      <c r="A16" s="9" t="s">
        <v>115</v>
      </c>
      <c r="B16" s="10" t="n">
        <f aca="false">SLOPE(cleaned_data!M2:M321,cleaned_data!F2:F321)</f>
        <v>35.6780310726405</v>
      </c>
      <c r="E16" s="1" t="s">
        <v>127</v>
      </c>
    </row>
    <row r="17" customFormat="false" ht="15" hidden="false" customHeight="true" outlineLevel="0" collapsed="false">
      <c r="A17" s="9" t="s">
        <v>117</v>
      </c>
      <c r="B17" s="11" t="n">
        <f aca="false">INTERCEPT(cleaned_data!M2:M321,cleaned_data!F2:F321)</f>
        <v>446410.582933954</v>
      </c>
      <c r="E17" s="1" t="s">
        <v>118</v>
      </c>
    </row>
    <row r="18" customFormat="false" ht="15" hidden="false" customHeight="true" outlineLevel="0" collapsed="false">
      <c r="A18" s="9" t="s">
        <v>119</v>
      </c>
      <c r="B18" s="10" t="n">
        <f aca="false">RSQ(cleaned_data!M2:M321,cleaned_data!F2:F321)</f>
        <v>0.736285340003311</v>
      </c>
      <c r="E18" s="1" t="s">
        <v>120</v>
      </c>
    </row>
    <row r="19" customFormat="false" ht="15" hidden="false" customHeight="true" outlineLevel="0" collapsed="false">
      <c r="A19" s="9" t="s">
        <v>121</v>
      </c>
      <c r="B19" s="1" t="n">
        <f aca="false">COUNT(cleaned_data!F2:F321)</f>
        <v>320</v>
      </c>
    </row>
    <row r="20" customFormat="false" ht="15" hidden="false" customHeight="true" outlineLevel="0" collapsed="false">
      <c r="A20" s="9" t="s">
        <v>122</v>
      </c>
      <c r="B20" s="10" t="n">
        <f aca="false">STEYX(cleaned_data!M2:M321,cleaned_data!F2:F321)/SQRT(DEVSQ(cleaned_data!F2:F321))</f>
        <v>1.19737828903408</v>
      </c>
    </row>
    <row r="21" customFormat="false" ht="15" hidden="false" customHeight="true" outlineLevel="0" collapsed="false">
      <c r="A21" s="9" t="s">
        <v>123</v>
      </c>
      <c r="B21" s="10" t="n">
        <f aca="false">B16/B20</f>
        <v>29.7967913727764</v>
      </c>
    </row>
    <row r="22" customFormat="false" ht="15" hidden="false" customHeight="true" outlineLevel="0" collapsed="false">
      <c r="A22" s="12" t="s">
        <v>124</v>
      </c>
      <c r="B22" s="13" t="n">
        <f aca="false">_xlfn.T.DIST.2T(ABS(B21),B19-2)</f>
        <v>4.75036150900599E-094</v>
      </c>
    </row>
    <row r="23" customFormat="false" ht="15" hidden="false" customHeight="true" outlineLevel="0" collapsed="false">
      <c r="A23" s="9" t="s">
        <v>125</v>
      </c>
      <c r="B23" s="14" t="str">
        <f aca="false">"monthly_sales = "&amp;TEXT(B17,"0.00")&amp;" + "&amp;TEXT(B16,"0.0000")&amp;" * footfall"</f>
        <v>monthly_sales = 446410.58 + 35.6780 * footfall</v>
      </c>
      <c r="C23" s="14"/>
      <c r="D23" s="14"/>
    </row>
    <row r="25" customFormat="false" ht="15" hidden="false" customHeight="true" outlineLevel="0" collapsed="false">
      <c r="A25" s="7" t="s">
        <v>128</v>
      </c>
    </row>
    <row r="26" customFormat="false" ht="15" hidden="false" customHeight="true" outlineLevel="0" collapsed="false">
      <c r="A26" s="8" t="s">
        <v>112</v>
      </c>
      <c r="B26" s="8" t="s">
        <v>113</v>
      </c>
      <c r="E26" s="8" t="s">
        <v>114</v>
      </c>
    </row>
    <row r="27" customFormat="false" ht="15" hidden="false" customHeight="true" outlineLevel="0" collapsed="false">
      <c r="A27" s="9" t="s">
        <v>115</v>
      </c>
      <c r="B27" s="10" t="n">
        <f aca="false">SLOPE(cleaned_data!M2:M321,cleaned_data!I2:I321)</f>
        <v>2217.83194099892</v>
      </c>
      <c r="E27" s="1" t="s">
        <v>129</v>
      </c>
    </row>
    <row r="28" customFormat="false" ht="15" hidden="false" customHeight="true" outlineLevel="0" collapsed="false">
      <c r="A28" s="9" t="s">
        <v>117</v>
      </c>
      <c r="B28" s="11" t="n">
        <f aca="false">INTERCEPT(cleaned_data!M2:M321,cleaned_data!I2:I321)</f>
        <v>484814.25658676</v>
      </c>
      <c r="E28" s="1" t="s">
        <v>118</v>
      </c>
    </row>
    <row r="29" customFormat="false" ht="15" hidden="false" customHeight="true" outlineLevel="0" collapsed="false">
      <c r="A29" s="9" t="s">
        <v>119</v>
      </c>
      <c r="B29" s="10" t="n">
        <f aca="false">RSQ(cleaned_data!M2:M321,cleaned_data!I2:I321)</f>
        <v>0.0131150159644044</v>
      </c>
      <c r="E29" s="1" t="s">
        <v>120</v>
      </c>
    </row>
    <row r="30" customFormat="false" ht="15" hidden="false" customHeight="true" outlineLevel="0" collapsed="false">
      <c r="A30" s="9" t="s">
        <v>121</v>
      </c>
      <c r="B30" s="1" t="n">
        <f aca="false">COUNT(cleaned_data!I2:I321)</f>
        <v>320</v>
      </c>
    </row>
    <row r="31" customFormat="false" ht="15" hidden="false" customHeight="true" outlineLevel="0" collapsed="false">
      <c r="A31" s="9" t="s">
        <v>122</v>
      </c>
      <c r="B31" s="10" t="n">
        <f aca="false">STEYX(cleaned_data!M2:M321,cleaned_data!I2:I321)/SQRT(DEVSQ(cleaned_data!I2:I321))</f>
        <v>1078.85712124034</v>
      </c>
    </row>
    <row r="32" customFormat="false" ht="15" hidden="false" customHeight="true" outlineLevel="0" collapsed="false">
      <c r="A32" s="9" t="s">
        <v>123</v>
      </c>
      <c r="B32" s="10" t="n">
        <f aca="false">B27/B31</f>
        <v>2.05572350345069</v>
      </c>
    </row>
    <row r="33" customFormat="false" ht="15" hidden="false" customHeight="true" outlineLevel="0" collapsed="false">
      <c r="A33" s="12" t="s">
        <v>124</v>
      </c>
      <c r="B33" s="13" t="n">
        <f aca="false">_xlfn.T.DIST.2T(ABS(B32),B30-2)</f>
        <v>0.0406252966301654</v>
      </c>
    </row>
    <row r="34" customFormat="false" ht="15" hidden="false" customHeight="true" outlineLevel="0" collapsed="false">
      <c r="A34" s="9" t="s">
        <v>125</v>
      </c>
      <c r="B34" s="14" t="str">
        <f aca="false">"monthly_sales = "&amp;TEXT(B28,"0.00")&amp;" + "&amp;TEXT(B27,"0.0000")&amp;" * inventory_availability_pct"</f>
        <v>monthly_sales = 484814.26 + 2217.8319 * inventory_availability_pct</v>
      </c>
      <c r="C34" s="14"/>
      <c r="D34" s="14"/>
    </row>
  </sheetData>
  <mergeCells count="3">
    <mergeCell ref="B12:D12"/>
    <mergeCell ref="B23:D2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4"/>
  </cols>
  <sheetData>
    <row r="1" customFormat="false" ht="17.25" hidden="false" customHeight="true" outlineLevel="0" collapsed="false">
      <c r="A1" s="4" t="s">
        <v>130</v>
      </c>
    </row>
    <row r="3" customFormat="false" ht="27.75" hidden="false" customHeight="true" outlineLevel="0" collapsed="false">
      <c r="A3" s="5" t="s">
        <v>131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5" customFormat="false" ht="15" hidden="false" customHeight="true" outlineLevel="0" collapsed="false">
      <c r="A5" s="9" t="s">
        <v>132</v>
      </c>
    </row>
    <row r="6" customFormat="false" ht="27.75" hidden="false" customHeight="true" outlineLevel="0" collapsed="false">
      <c r="A6" s="8" t="s">
        <v>133</v>
      </c>
      <c r="B6" s="6" t="s">
        <v>5</v>
      </c>
      <c r="C6" s="6" t="s">
        <v>4</v>
      </c>
      <c r="D6" s="6" t="s">
        <v>7</v>
      </c>
      <c r="E6" s="6" t="s">
        <v>8</v>
      </c>
      <c r="F6" s="6" t="s">
        <v>6</v>
      </c>
      <c r="G6" s="6" t="s">
        <v>10</v>
      </c>
      <c r="H6" s="6" t="s">
        <v>104</v>
      </c>
      <c r="I6" s="6" t="s">
        <v>105</v>
      </c>
      <c r="J6" s="6" t="s">
        <v>106</v>
      </c>
      <c r="K6" s="6" t="s">
        <v>107</v>
      </c>
      <c r="L6" s="6" t="s">
        <v>108</v>
      </c>
      <c r="M6" s="6" t="s">
        <v>109</v>
      </c>
    </row>
    <row r="7" customFormat="false" ht="15" hidden="false" customHeight="true" outlineLevel="0" collapsed="false">
      <c r="A7" s="1" t="n">
        <v>1</v>
      </c>
      <c r="B7" s="1" t="n">
        <f aca="false">cleaned_data!F2</f>
        <v>8302</v>
      </c>
      <c r="C7" s="1" t="n">
        <f aca="false">cleaned_data!E2</f>
        <v>70389.11</v>
      </c>
      <c r="D7" s="1" t="n">
        <f aca="false">cleaned_data!H2</f>
        <v>17</v>
      </c>
      <c r="E7" s="1" t="n">
        <f aca="false">cleaned_data!I2</f>
        <v>75</v>
      </c>
      <c r="F7" s="1" t="n">
        <f aca="false">cleaned_data!G2</f>
        <v>0.042</v>
      </c>
      <c r="G7" s="1" t="n">
        <f aca="false">cleaned_data!K2</f>
        <v>1</v>
      </c>
      <c r="H7" s="1" t="n">
        <f aca="false">dummy_variables!E5</f>
        <v>0</v>
      </c>
      <c r="I7" s="1" t="n">
        <f aca="false">dummy_variables!F5</f>
        <v>1</v>
      </c>
      <c r="J7" s="1" t="n">
        <f aca="false">dummy_variables!G5</f>
        <v>0</v>
      </c>
      <c r="K7" s="1" t="n">
        <f aca="false">dummy_variables!H5</f>
        <v>0</v>
      </c>
      <c r="L7" s="1" t="n">
        <f aca="false">dummy_variables!I5</f>
        <v>0</v>
      </c>
      <c r="M7" s="1" t="n">
        <f aca="false">dummy_variables!J5</f>
        <v>0</v>
      </c>
    </row>
    <row r="8" customFormat="false" ht="15" hidden="false" customHeight="true" outlineLevel="0" collapsed="false">
      <c r="A8" s="1" t="n">
        <v>2</v>
      </c>
      <c r="B8" s="1" t="n">
        <f aca="false">cleaned_data!F3</f>
        <v>8487</v>
      </c>
      <c r="C8" s="1" t="n">
        <f aca="false">cleaned_data!E3</f>
        <v>43827.89</v>
      </c>
      <c r="D8" s="1" t="n">
        <f aca="false">cleaned_data!H3</f>
        <v>23</v>
      </c>
      <c r="E8" s="1" t="n">
        <f aca="false">cleaned_data!I3</f>
        <v>84.4</v>
      </c>
      <c r="F8" s="1" t="n">
        <f aca="false">cleaned_data!G3</f>
        <v>0.168</v>
      </c>
      <c r="G8" s="1" t="n">
        <f aca="false">cleaned_data!K3</f>
        <v>0</v>
      </c>
      <c r="H8" s="1" t="n">
        <f aca="false">dummy_variables!E6</f>
        <v>0</v>
      </c>
      <c r="I8" s="1" t="n">
        <f aca="false">dummy_variables!F6</f>
        <v>1</v>
      </c>
      <c r="J8" s="1" t="n">
        <f aca="false">dummy_variables!G6</f>
        <v>0</v>
      </c>
      <c r="K8" s="1" t="n">
        <f aca="false">dummy_variables!H6</f>
        <v>0</v>
      </c>
      <c r="L8" s="1" t="n">
        <f aca="false">dummy_variables!I6</f>
        <v>0</v>
      </c>
      <c r="M8" s="1" t="n">
        <f aca="false">dummy_variables!J6</f>
        <v>0</v>
      </c>
    </row>
    <row r="9" customFormat="false" ht="15" hidden="false" customHeight="true" outlineLevel="0" collapsed="false">
      <c r="A9" s="1" t="n">
        <v>3</v>
      </c>
      <c r="B9" s="1" t="n">
        <f aca="false">cleaned_data!F4</f>
        <v>9113</v>
      </c>
      <c r="C9" s="1" t="n">
        <f aca="false">cleaned_data!E4</f>
        <v>59921.75</v>
      </c>
      <c r="D9" s="1" t="n">
        <f aca="false">cleaned_data!H4</f>
        <v>20</v>
      </c>
      <c r="E9" s="1" t="n">
        <f aca="false">cleaned_data!I4</f>
        <v>88</v>
      </c>
      <c r="F9" s="1" t="n">
        <f aca="false">cleaned_data!G4</f>
        <v>0.133</v>
      </c>
      <c r="G9" s="1" t="n">
        <f aca="false">cleaned_data!K4</f>
        <v>0</v>
      </c>
      <c r="H9" s="1" t="n">
        <f aca="false">dummy_variables!E7</f>
        <v>0</v>
      </c>
      <c r="I9" s="1" t="n">
        <f aca="false">dummy_variables!F7</f>
        <v>1</v>
      </c>
      <c r="J9" s="1" t="n">
        <f aca="false">dummy_variables!G7</f>
        <v>0</v>
      </c>
      <c r="K9" s="1" t="n">
        <f aca="false">dummy_variables!H7</f>
        <v>0</v>
      </c>
      <c r="L9" s="1" t="n">
        <f aca="false">dummy_variables!I7</f>
        <v>0</v>
      </c>
      <c r="M9" s="1" t="n">
        <f aca="false">dummy_variables!J7</f>
        <v>0</v>
      </c>
    </row>
    <row r="10" customFormat="false" ht="15" hidden="false" customHeight="true" outlineLevel="0" collapsed="false">
      <c r="A10" s="1" t="n">
        <v>4</v>
      </c>
      <c r="B10" s="1" t="n">
        <f aca="false">cleaned_data!F5</f>
        <v>9431</v>
      </c>
      <c r="C10" s="1" t="n">
        <f aca="false">cleaned_data!E5</f>
        <v>56856.63</v>
      </c>
      <c r="D10" s="1" t="n">
        <f aca="false">cleaned_data!H5</f>
        <v>23</v>
      </c>
      <c r="E10" s="1" t="n">
        <f aca="false">cleaned_data!I5</f>
        <v>86.9</v>
      </c>
      <c r="F10" s="1" t="n">
        <f aca="false">cleaned_data!G5</f>
        <v>0.142</v>
      </c>
      <c r="G10" s="1" t="n">
        <f aca="false">cleaned_data!K5</f>
        <v>0</v>
      </c>
      <c r="H10" s="1" t="n">
        <f aca="false">dummy_variables!E8</f>
        <v>0</v>
      </c>
      <c r="I10" s="1" t="n">
        <f aca="false">dummy_variables!F8</f>
        <v>1</v>
      </c>
      <c r="J10" s="1" t="n">
        <f aca="false">dummy_variables!G8</f>
        <v>0</v>
      </c>
      <c r="K10" s="1" t="n">
        <f aca="false">dummy_variables!H8</f>
        <v>0</v>
      </c>
      <c r="L10" s="1" t="n">
        <f aca="false">dummy_variables!I8</f>
        <v>0</v>
      </c>
      <c r="M10" s="1" t="n">
        <f aca="false">dummy_variables!J8</f>
        <v>0</v>
      </c>
    </row>
    <row r="11" customFormat="false" ht="15" hidden="false" customHeight="true" outlineLevel="0" collapsed="false">
      <c r="A11" s="1" t="n">
        <v>5</v>
      </c>
      <c r="B11" s="1" t="n">
        <f aca="false">cleaned_data!F6</f>
        <v>9545</v>
      </c>
      <c r="C11" s="1" t="n">
        <f aca="false">cleaned_data!E6</f>
        <v>48412.64</v>
      </c>
      <c r="D11" s="1" t="n">
        <f aca="false">cleaned_data!H6</f>
        <v>21</v>
      </c>
      <c r="E11" s="1" t="n">
        <f aca="false">cleaned_data!I6</f>
        <v>97.6</v>
      </c>
      <c r="F11" s="1" t="n">
        <f aca="false">cleaned_data!G6</f>
        <v>0.231</v>
      </c>
      <c r="G11" s="1" t="n">
        <f aca="false">cleaned_data!K6</f>
        <v>1</v>
      </c>
      <c r="H11" s="1" t="n">
        <f aca="false">dummy_variables!E9</f>
        <v>0</v>
      </c>
      <c r="I11" s="1" t="n">
        <f aca="false">dummy_variables!F9</f>
        <v>0</v>
      </c>
      <c r="J11" s="1" t="n">
        <f aca="false">dummy_variables!G9</f>
        <v>0</v>
      </c>
      <c r="K11" s="1" t="n">
        <f aca="false">dummy_variables!H9</f>
        <v>0</v>
      </c>
      <c r="L11" s="1" t="n">
        <f aca="false">dummy_variables!I9</f>
        <v>0</v>
      </c>
      <c r="M11" s="1" t="n">
        <f aca="false">dummy_variables!J9</f>
        <v>0</v>
      </c>
    </row>
    <row r="12" customFormat="false" ht="15" hidden="false" customHeight="true" outlineLevel="0" collapsed="false">
      <c r="A12" s="1" t="n">
        <v>6</v>
      </c>
      <c r="B12" s="1" t="n">
        <f aca="false">cleaned_data!F7</f>
        <v>9792</v>
      </c>
      <c r="C12" s="1" t="n">
        <f aca="false">cleaned_data!E7</f>
        <v>64811.21</v>
      </c>
      <c r="D12" s="1" t="n">
        <f aca="false">cleaned_data!H7</f>
        <v>20</v>
      </c>
      <c r="E12" s="1" t="n">
        <f aca="false">cleaned_data!I7</f>
        <v>84.2</v>
      </c>
      <c r="F12" s="1" t="n">
        <f aca="false">cleaned_data!G7</f>
        <v>0.112</v>
      </c>
      <c r="G12" s="1" t="n">
        <f aca="false">cleaned_data!K7</f>
        <v>0</v>
      </c>
      <c r="H12" s="1" t="n">
        <f aca="false">dummy_variables!E10</f>
        <v>0</v>
      </c>
      <c r="I12" s="1" t="n">
        <f aca="false">dummy_variables!F10</f>
        <v>0</v>
      </c>
      <c r="J12" s="1" t="n">
        <f aca="false">dummy_variables!G10</f>
        <v>0</v>
      </c>
      <c r="K12" s="1" t="n">
        <f aca="false">dummy_variables!H10</f>
        <v>0</v>
      </c>
      <c r="L12" s="1" t="n">
        <f aca="false">dummy_variables!I10</f>
        <v>0</v>
      </c>
      <c r="M12" s="1" t="n">
        <f aca="false">dummy_variables!J10</f>
        <v>0</v>
      </c>
    </row>
    <row r="13" customFormat="false" ht="15" hidden="false" customHeight="true" outlineLevel="0" collapsed="false">
      <c r="A13" s="1" t="n">
        <v>7</v>
      </c>
      <c r="B13" s="1" t="n">
        <f aca="false">cleaned_data!F8</f>
        <v>10616</v>
      </c>
      <c r="C13" s="1" t="n">
        <f aca="false">cleaned_data!E8</f>
        <v>46213.45</v>
      </c>
      <c r="D13" s="1" t="n">
        <f aca="false">cleaned_data!H8</f>
        <v>22</v>
      </c>
      <c r="E13" s="1" t="n">
        <f aca="false">cleaned_data!I8</f>
        <v>85.2</v>
      </c>
      <c r="F13" s="1" t="n">
        <f aca="false">cleaned_data!G8</f>
        <v>0.122</v>
      </c>
      <c r="G13" s="1" t="n">
        <f aca="false">cleaned_data!K8</f>
        <v>1</v>
      </c>
      <c r="H13" s="1" t="n">
        <f aca="false">dummy_variables!E11</f>
        <v>0</v>
      </c>
      <c r="I13" s="1" t="n">
        <f aca="false">dummy_variables!F11</f>
        <v>0</v>
      </c>
      <c r="J13" s="1" t="n">
        <f aca="false">dummy_variables!G11</f>
        <v>0</v>
      </c>
      <c r="K13" s="1" t="n">
        <f aca="false">dummy_variables!H11</f>
        <v>0</v>
      </c>
      <c r="L13" s="1" t="n">
        <f aca="false">dummy_variables!I11</f>
        <v>0</v>
      </c>
      <c r="M13" s="1" t="n">
        <f aca="false">dummy_variables!J11</f>
        <v>0</v>
      </c>
    </row>
    <row r="14" customFormat="false" ht="15" hidden="false" customHeight="true" outlineLevel="0" collapsed="false">
      <c r="A14" s="1" t="n">
        <v>8</v>
      </c>
      <c r="B14" s="1" t="n">
        <f aca="false">cleaned_data!F9</f>
        <v>8567</v>
      </c>
      <c r="C14" s="1" t="n">
        <f aca="false">cleaned_data!E9</f>
        <v>68148.52</v>
      </c>
      <c r="D14" s="1" t="n">
        <f aca="false">cleaned_data!H9</f>
        <v>23</v>
      </c>
      <c r="E14" s="1" t="n">
        <f aca="false">cleaned_data!I9</f>
        <v>95.6</v>
      </c>
      <c r="F14" s="1" t="n">
        <f aca="false">cleaned_data!G9</f>
        <v>0.127</v>
      </c>
      <c r="G14" s="1" t="n">
        <f aca="false">cleaned_data!K9</f>
        <v>0</v>
      </c>
      <c r="H14" s="1" t="n">
        <f aca="false">dummy_variables!E12</f>
        <v>0</v>
      </c>
      <c r="I14" s="1" t="n">
        <f aca="false">dummy_variables!F12</f>
        <v>0</v>
      </c>
      <c r="J14" s="1" t="n">
        <f aca="false">dummy_variables!G12</f>
        <v>0</v>
      </c>
      <c r="K14" s="1" t="n">
        <f aca="false">dummy_variables!H12</f>
        <v>0</v>
      </c>
      <c r="L14" s="1" t="n">
        <f aca="false">dummy_variables!I12</f>
        <v>0</v>
      </c>
      <c r="M14" s="1" t="n">
        <f aca="false">dummy_variables!J12</f>
        <v>0</v>
      </c>
    </row>
    <row r="15" customFormat="false" ht="15" hidden="false" customHeight="true" outlineLevel="0" collapsed="false">
      <c r="A15" s="1" t="n">
        <v>9</v>
      </c>
      <c r="B15" s="1" t="n">
        <f aca="false">cleaned_data!F10</f>
        <v>10979</v>
      </c>
      <c r="C15" s="1" t="n">
        <f aca="false">cleaned_data!E10</f>
        <v>71838.86</v>
      </c>
      <c r="D15" s="1" t="n">
        <f aca="false">cleaned_data!H10</f>
        <v>26</v>
      </c>
      <c r="E15" s="1" t="n">
        <f aca="false">cleaned_data!I10</f>
        <v>88.6</v>
      </c>
      <c r="F15" s="1" t="n">
        <f aca="false">cleaned_data!G10</f>
        <v>0.215</v>
      </c>
      <c r="G15" s="1" t="n">
        <f aca="false">cleaned_data!K10</f>
        <v>1</v>
      </c>
      <c r="H15" s="1" t="n">
        <f aca="false">dummy_variables!E13</f>
        <v>0</v>
      </c>
      <c r="I15" s="1" t="n">
        <f aca="false">dummy_variables!F13</f>
        <v>0</v>
      </c>
      <c r="J15" s="1" t="n">
        <f aca="false">dummy_variables!G13</f>
        <v>1</v>
      </c>
      <c r="K15" s="1" t="n">
        <f aca="false">dummy_variables!H13</f>
        <v>1</v>
      </c>
      <c r="L15" s="1" t="n">
        <f aca="false">dummy_variables!I13</f>
        <v>0</v>
      </c>
      <c r="M15" s="1" t="n">
        <f aca="false">dummy_variables!J13</f>
        <v>0</v>
      </c>
    </row>
    <row r="16" customFormat="false" ht="15" hidden="false" customHeight="true" outlineLevel="0" collapsed="false">
      <c r="A16" s="1" t="n">
        <v>10</v>
      </c>
      <c r="B16" s="1" t="n">
        <f aca="false">cleaned_data!F11</f>
        <v>9459</v>
      </c>
      <c r="C16" s="1" t="n">
        <f aca="false">cleaned_data!E11</f>
        <v>68133.44</v>
      </c>
      <c r="D16" s="1" t="n">
        <f aca="false">cleaned_data!H11</f>
        <v>21</v>
      </c>
      <c r="E16" s="1" t="n">
        <f aca="false">cleaned_data!I11</f>
        <v>85</v>
      </c>
      <c r="F16" s="1" t="n">
        <f aca="false">cleaned_data!G11</f>
        <v>0.22</v>
      </c>
      <c r="G16" s="1" t="n">
        <f aca="false">cleaned_data!K11</f>
        <v>0</v>
      </c>
      <c r="H16" s="1" t="n">
        <f aca="false">dummy_variables!E14</f>
        <v>0</v>
      </c>
      <c r="I16" s="1" t="n">
        <f aca="false">dummy_variables!F14</f>
        <v>0</v>
      </c>
      <c r="J16" s="1" t="n">
        <f aca="false">dummy_variables!G14</f>
        <v>1</v>
      </c>
      <c r="K16" s="1" t="n">
        <f aca="false">dummy_variables!H14</f>
        <v>1</v>
      </c>
      <c r="L16" s="1" t="n">
        <f aca="false">dummy_variables!I14</f>
        <v>0</v>
      </c>
      <c r="M16" s="1" t="n">
        <f aca="false">dummy_variables!J14</f>
        <v>0</v>
      </c>
    </row>
    <row r="17" customFormat="false" ht="15" hidden="false" customHeight="true" outlineLevel="0" collapsed="false">
      <c r="A17" s="1" t="n">
        <v>11</v>
      </c>
      <c r="B17" s="1" t="n">
        <f aca="false">cleaned_data!F12</f>
        <v>9172</v>
      </c>
      <c r="C17" s="1" t="n">
        <f aca="false">cleaned_data!E12</f>
        <v>34285.21</v>
      </c>
      <c r="D17" s="1" t="n">
        <f aca="false">cleaned_data!H12</f>
        <v>22</v>
      </c>
      <c r="E17" s="1" t="n">
        <f aca="false">cleaned_data!I12</f>
        <v>88.3</v>
      </c>
      <c r="F17" s="1" t="n">
        <f aca="false">cleaned_data!G12</f>
        <v>0.213</v>
      </c>
      <c r="G17" s="1" t="n">
        <f aca="false">cleaned_data!K12</f>
        <v>1</v>
      </c>
      <c r="H17" s="1" t="n">
        <f aca="false">dummy_variables!E15</f>
        <v>0</v>
      </c>
      <c r="I17" s="1" t="n">
        <f aca="false">dummy_variables!F15</f>
        <v>0</v>
      </c>
      <c r="J17" s="1" t="n">
        <f aca="false">dummy_variables!G15</f>
        <v>1</v>
      </c>
      <c r="K17" s="1" t="n">
        <f aca="false">dummy_variables!H15</f>
        <v>1</v>
      </c>
      <c r="L17" s="1" t="n">
        <f aca="false">dummy_variables!I15</f>
        <v>0</v>
      </c>
      <c r="M17" s="1" t="n">
        <f aca="false">dummy_variables!J15</f>
        <v>0</v>
      </c>
    </row>
    <row r="18" customFormat="false" ht="15" hidden="false" customHeight="true" outlineLevel="0" collapsed="false">
      <c r="A18" s="1" t="n">
        <v>12</v>
      </c>
      <c r="B18" s="1" t="n">
        <f aca="false">cleaned_data!F13</f>
        <v>11230</v>
      </c>
      <c r="C18" s="1" t="n">
        <f aca="false">cleaned_data!E13</f>
        <v>67979.88</v>
      </c>
      <c r="D18" s="1" t="n">
        <f aca="false">cleaned_data!H13</f>
        <v>28</v>
      </c>
      <c r="E18" s="1" t="n">
        <f aca="false">cleaned_data!I13</f>
        <v>85.3</v>
      </c>
      <c r="F18" s="1" t="n">
        <f aca="false">cleaned_data!G13</f>
        <v>0.002</v>
      </c>
      <c r="G18" s="1" t="n">
        <f aca="false">cleaned_data!K13</f>
        <v>0</v>
      </c>
      <c r="H18" s="1" t="n">
        <f aca="false">dummy_variables!E16</f>
        <v>0</v>
      </c>
      <c r="I18" s="1" t="n">
        <f aca="false">dummy_variables!F16</f>
        <v>0</v>
      </c>
      <c r="J18" s="1" t="n">
        <f aca="false">dummy_variables!G16</f>
        <v>1</v>
      </c>
      <c r="K18" s="1" t="n">
        <f aca="false">dummy_variables!H16</f>
        <v>1</v>
      </c>
      <c r="L18" s="1" t="n">
        <f aca="false">dummy_variables!I16</f>
        <v>0</v>
      </c>
      <c r="M18" s="1" t="n">
        <f aca="false">dummy_variables!J16</f>
        <v>0</v>
      </c>
    </row>
    <row r="19" customFormat="false" ht="15" hidden="false" customHeight="true" outlineLevel="0" collapsed="false">
      <c r="A19" s="1" t="n">
        <v>13</v>
      </c>
      <c r="B19" s="1" t="n">
        <f aca="false">cleaned_data!F14</f>
        <v>12775</v>
      </c>
      <c r="C19" s="1" t="n">
        <f aca="false">cleaned_data!E14</f>
        <v>71828.26</v>
      </c>
      <c r="D19" s="1" t="n">
        <f aca="false">cleaned_data!H14</f>
        <v>30</v>
      </c>
      <c r="E19" s="1" t="n">
        <f aca="false">cleaned_data!I14</f>
        <v>81.7</v>
      </c>
      <c r="F19" s="1" t="n">
        <f aca="false">cleaned_data!G14</f>
        <v>0.116</v>
      </c>
      <c r="G19" s="1" t="n">
        <f aca="false">cleaned_data!K14</f>
        <v>1</v>
      </c>
      <c r="H19" s="1" t="n">
        <f aca="false">dummy_variables!E17</f>
        <v>0</v>
      </c>
      <c r="I19" s="1" t="n">
        <f aca="false">dummy_variables!F17</f>
        <v>1</v>
      </c>
      <c r="J19" s="1" t="n">
        <f aca="false">dummy_variables!G17</f>
        <v>0</v>
      </c>
      <c r="K19" s="1" t="n">
        <f aca="false">dummy_variables!H17</f>
        <v>0</v>
      </c>
      <c r="L19" s="1" t="n">
        <f aca="false">dummy_variables!I17</f>
        <v>0</v>
      </c>
      <c r="M19" s="1" t="n">
        <f aca="false">dummy_variables!J17</f>
        <v>0</v>
      </c>
    </row>
    <row r="20" customFormat="false" ht="15" hidden="false" customHeight="true" outlineLevel="0" collapsed="false">
      <c r="A20" s="1" t="n">
        <v>14</v>
      </c>
      <c r="B20" s="1" t="n">
        <f aca="false">cleaned_data!F15</f>
        <v>10054</v>
      </c>
      <c r="C20" s="1" t="n">
        <f aca="false">cleaned_data!E15</f>
        <v>55716.82</v>
      </c>
      <c r="D20" s="1" t="n">
        <f aca="false">cleaned_data!H15</f>
        <v>24</v>
      </c>
      <c r="E20" s="1" t="n">
        <f aca="false">cleaned_data!I15</f>
        <v>84.9</v>
      </c>
      <c r="F20" s="1" t="n">
        <f aca="false">cleaned_data!G15</f>
        <v>0.146</v>
      </c>
      <c r="G20" s="1" t="n">
        <f aca="false">cleaned_data!K15</f>
        <v>0</v>
      </c>
      <c r="H20" s="1" t="n">
        <f aca="false">dummy_variables!E18</f>
        <v>0</v>
      </c>
      <c r="I20" s="1" t="n">
        <f aca="false">dummy_variables!F18</f>
        <v>1</v>
      </c>
      <c r="J20" s="1" t="n">
        <f aca="false">dummy_variables!G18</f>
        <v>0</v>
      </c>
      <c r="K20" s="1" t="n">
        <f aca="false">dummy_variables!H18</f>
        <v>0</v>
      </c>
      <c r="L20" s="1" t="n">
        <f aca="false">dummy_variables!I18</f>
        <v>0</v>
      </c>
      <c r="M20" s="1" t="n">
        <f aca="false">dummy_variables!J18</f>
        <v>0</v>
      </c>
    </row>
    <row r="21" customFormat="false" ht="15" hidden="false" customHeight="true" outlineLevel="0" collapsed="false">
      <c r="A21" s="1" t="n">
        <v>15</v>
      </c>
      <c r="B21" s="1" t="n">
        <f aca="false">cleaned_data!F16</f>
        <v>8895</v>
      </c>
      <c r="C21" s="1" t="n">
        <f aca="false">cleaned_data!E16</f>
        <v>59909.51</v>
      </c>
      <c r="D21" s="1" t="n">
        <f aca="false">cleaned_data!H16</f>
        <v>23</v>
      </c>
      <c r="E21" s="1" t="n">
        <f aca="false">cleaned_data!I16</f>
        <v>88.8</v>
      </c>
      <c r="F21" s="1" t="n">
        <f aca="false">cleaned_data!G16</f>
        <v>0.228</v>
      </c>
      <c r="G21" s="1" t="n">
        <f aca="false">cleaned_data!K16</f>
        <v>0</v>
      </c>
      <c r="H21" s="1" t="n">
        <f aca="false">dummy_variables!E19</f>
        <v>0</v>
      </c>
      <c r="I21" s="1" t="n">
        <f aca="false">dummy_variables!F19</f>
        <v>1</v>
      </c>
      <c r="J21" s="1" t="n">
        <f aca="false">dummy_variables!G19</f>
        <v>0</v>
      </c>
      <c r="K21" s="1" t="n">
        <f aca="false">dummy_variables!H19</f>
        <v>0</v>
      </c>
      <c r="L21" s="1" t="n">
        <f aca="false">dummy_variables!I19</f>
        <v>0</v>
      </c>
      <c r="M21" s="1" t="n">
        <f aca="false">dummy_variables!J19</f>
        <v>0</v>
      </c>
    </row>
    <row r="22" customFormat="false" ht="15" hidden="false" customHeight="true" outlineLevel="0" collapsed="false">
      <c r="A22" s="1" t="n">
        <v>16</v>
      </c>
      <c r="B22" s="1" t="n">
        <f aca="false">cleaned_data!F17</f>
        <v>10940</v>
      </c>
      <c r="C22" s="1" t="n">
        <f aca="false">cleaned_data!E17</f>
        <v>75305.71</v>
      </c>
      <c r="D22" s="1" t="n">
        <f aca="false">cleaned_data!H17</f>
        <v>26</v>
      </c>
      <c r="E22" s="1" t="n">
        <f aca="false">cleaned_data!I17</f>
        <v>76.5</v>
      </c>
      <c r="F22" s="1" t="n">
        <f aca="false">cleaned_data!G17</f>
        <v>0.006</v>
      </c>
      <c r="G22" s="1" t="n">
        <f aca="false">cleaned_data!K17</f>
        <v>0</v>
      </c>
      <c r="H22" s="1" t="n">
        <f aca="false">dummy_variables!E20</f>
        <v>0</v>
      </c>
      <c r="I22" s="1" t="n">
        <f aca="false">dummy_variables!F20</f>
        <v>1</v>
      </c>
      <c r="J22" s="1" t="n">
        <f aca="false">dummy_variables!G20</f>
        <v>0</v>
      </c>
      <c r="K22" s="1" t="n">
        <f aca="false">dummy_variables!H20</f>
        <v>0</v>
      </c>
      <c r="L22" s="1" t="n">
        <f aca="false">dummy_variables!I20</f>
        <v>0</v>
      </c>
      <c r="M22" s="1" t="n">
        <f aca="false">dummy_variables!J20</f>
        <v>0</v>
      </c>
    </row>
    <row r="23" customFormat="false" ht="15" hidden="false" customHeight="true" outlineLevel="0" collapsed="false">
      <c r="A23" s="1" t="n">
        <v>17</v>
      </c>
      <c r="B23" s="1" t="n">
        <f aca="false">cleaned_data!F18</f>
        <v>7057</v>
      </c>
      <c r="C23" s="1" t="n">
        <f aca="false">cleaned_data!E18</f>
        <v>48804.22</v>
      </c>
      <c r="D23" s="1" t="n">
        <f aca="false">cleaned_data!H18</f>
        <v>15</v>
      </c>
      <c r="E23" s="1" t="n">
        <f aca="false">cleaned_data!I18</f>
        <v>87.7</v>
      </c>
      <c r="F23" s="1" t="n">
        <f aca="false">cleaned_data!G18</f>
        <v>0.005</v>
      </c>
      <c r="G23" s="1" t="n">
        <f aca="false">cleaned_data!K18</f>
        <v>0</v>
      </c>
      <c r="H23" s="1" t="n">
        <f aca="false">dummy_variables!E21</f>
        <v>0</v>
      </c>
      <c r="I23" s="1" t="n">
        <f aca="false">dummy_variables!F21</f>
        <v>1</v>
      </c>
      <c r="J23" s="1" t="n">
        <f aca="false">dummy_variables!G21</f>
        <v>0</v>
      </c>
      <c r="K23" s="1" t="n">
        <f aca="false">dummy_variables!H21</f>
        <v>0</v>
      </c>
      <c r="L23" s="1" t="n">
        <f aca="false">dummy_variables!I21</f>
        <v>1</v>
      </c>
      <c r="M23" s="1" t="n">
        <f aca="false">dummy_variables!J21</f>
        <v>0</v>
      </c>
    </row>
    <row r="24" customFormat="false" ht="15" hidden="false" customHeight="true" outlineLevel="0" collapsed="false">
      <c r="A24" s="1" t="n">
        <v>18</v>
      </c>
      <c r="B24" s="1" t="n">
        <f aca="false">cleaned_data!F19</f>
        <v>4263</v>
      </c>
      <c r="C24" s="1" t="n">
        <f aca="false">cleaned_data!E19</f>
        <v>59117.9</v>
      </c>
      <c r="D24" s="1" t="n">
        <f aca="false">cleaned_data!H19</f>
        <v>9</v>
      </c>
      <c r="E24" s="1" t="n">
        <f aca="false">cleaned_data!I19</f>
        <v>87.6</v>
      </c>
      <c r="F24" s="1" t="n">
        <f aca="false">cleaned_data!G19</f>
        <v>0.119</v>
      </c>
      <c r="G24" s="1" t="n">
        <f aca="false">cleaned_data!K19</f>
        <v>0</v>
      </c>
      <c r="H24" s="1" t="n">
        <f aca="false">dummy_variables!E22</f>
        <v>0</v>
      </c>
      <c r="I24" s="1" t="n">
        <f aca="false">dummy_variables!F22</f>
        <v>1</v>
      </c>
      <c r="J24" s="1" t="n">
        <f aca="false">dummy_variables!G22</f>
        <v>0</v>
      </c>
      <c r="K24" s="1" t="n">
        <f aca="false">dummy_variables!H22</f>
        <v>0</v>
      </c>
      <c r="L24" s="1" t="n">
        <f aca="false">dummy_variables!I22</f>
        <v>1</v>
      </c>
      <c r="M24" s="1" t="n">
        <f aca="false">dummy_variables!J22</f>
        <v>0</v>
      </c>
    </row>
    <row r="25" customFormat="false" ht="15" hidden="false" customHeight="true" outlineLevel="0" collapsed="false">
      <c r="A25" s="1" t="n">
        <v>19</v>
      </c>
      <c r="B25" s="1" t="n">
        <f aca="false">cleaned_data!F20</f>
        <v>5538</v>
      </c>
      <c r="C25" s="1" t="n">
        <f aca="false">cleaned_data!E20</f>
        <v>78831.12</v>
      </c>
      <c r="D25" s="1" t="n">
        <f aca="false">cleaned_data!H20</f>
        <v>15</v>
      </c>
      <c r="E25" s="1" t="n">
        <f aca="false">cleaned_data!I20</f>
        <v>94.1</v>
      </c>
      <c r="F25" s="1" t="n">
        <f aca="false">cleaned_data!G20</f>
        <v>0</v>
      </c>
      <c r="G25" s="1" t="n">
        <f aca="false">cleaned_data!K20</f>
        <v>0</v>
      </c>
      <c r="H25" s="1" t="n">
        <f aca="false">dummy_variables!E23</f>
        <v>0</v>
      </c>
      <c r="I25" s="1" t="n">
        <f aca="false">dummy_variables!F23</f>
        <v>1</v>
      </c>
      <c r="J25" s="1" t="n">
        <f aca="false">dummy_variables!G23</f>
        <v>0</v>
      </c>
      <c r="K25" s="1" t="n">
        <f aca="false">dummy_variables!H23</f>
        <v>0</v>
      </c>
      <c r="L25" s="1" t="n">
        <f aca="false">dummy_variables!I23</f>
        <v>1</v>
      </c>
      <c r="M25" s="1" t="n">
        <f aca="false">dummy_variables!J23</f>
        <v>0</v>
      </c>
    </row>
    <row r="26" customFormat="false" ht="15" hidden="false" customHeight="true" outlineLevel="0" collapsed="false">
      <c r="A26" s="1" t="n">
        <v>20</v>
      </c>
      <c r="B26" s="1" t="n">
        <f aca="false">cleaned_data!F21</f>
        <v>4865</v>
      </c>
      <c r="C26" s="1" t="n">
        <f aca="false">cleaned_data!E21</f>
        <v>41441.93</v>
      </c>
      <c r="D26" s="1" t="n">
        <f aca="false">cleaned_data!H21</f>
        <v>16</v>
      </c>
      <c r="E26" s="1" t="n">
        <f aca="false">cleaned_data!I21</f>
        <v>88.3</v>
      </c>
      <c r="F26" s="1" t="n">
        <f aca="false">cleaned_data!G21</f>
        <v>0.158</v>
      </c>
      <c r="G26" s="1" t="n">
        <f aca="false">cleaned_data!K21</f>
        <v>0</v>
      </c>
      <c r="H26" s="1" t="n">
        <f aca="false">dummy_variables!E24</f>
        <v>0</v>
      </c>
      <c r="I26" s="1" t="n">
        <f aca="false">dummy_variables!F24</f>
        <v>1</v>
      </c>
      <c r="J26" s="1" t="n">
        <f aca="false">dummy_variables!G24</f>
        <v>0</v>
      </c>
      <c r="K26" s="1" t="n">
        <f aca="false">dummy_variables!H24</f>
        <v>0</v>
      </c>
      <c r="L26" s="1" t="n">
        <f aca="false">dummy_variables!I24</f>
        <v>1</v>
      </c>
      <c r="M26" s="1" t="n">
        <f aca="false">dummy_variables!J24</f>
        <v>0</v>
      </c>
    </row>
    <row r="27" customFormat="false" ht="15" hidden="false" customHeight="true" outlineLevel="0" collapsed="false">
      <c r="A27" s="1" t="n">
        <v>21</v>
      </c>
      <c r="B27" s="1" t="n">
        <f aca="false">cleaned_data!F22</f>
        <v>2822</v>
      </c>
      <c r="C27" s="1" t="n">
        <f aca="false">cleaned_data!E22</f>
        <v>30356.28</v>
      </c>
      <c r="D27" s="1" t="n">
        <f aca="false">cleaned_data!H22</f>
        <v>9</v>
      </c>
      <c r="E27" s="1" t="n">
        <f aca="false">cleaned_data!I22</f>
        <v>84.8</v>
      </c>
      <c r="F27" s="1" t="n">
        <f aca="false">cleaned_data!G22</f>
        <v>0.231</v>
      </c>
      <c r="G27" s="1" t="n">
        <f aca="false">cleaned_data!K22</f>
        <v>0</v>
      </c>
      <c r="H27" s="1" t="n">
        <f aca="false">dummy_variables!E25</f>
        <v>0</v>
      </c>
      <c r="I27" s="1" t="n">
        <f aca="false">dummy_variables!F25</f>
        <v>1</v>
      </c>
      <c r="J27" s="1" t="n">
        <f aca="false">dummy_variables!G25</f>
        <v>0</v>
      </c>
      <c r="K27" s="1" t="n">
        <f aca="false">dummy_variables!H25</f>
        <v>1</v>
      </c>
      <c r="L27" s="1" t="n">
        <f aca="false">dummy_variables!I25</f>
        <v>0</v>
      </c>
      <c r="M27" s="1" t="n">
        <f aca="false">dummy_variables!J25</f>
        <v>0</v>
      </c>
    </row>
    <row r="28" customFormat="false" ht="15" hidden="false" customHeight="true" outlineLevel="0" collapsed="false">
      <c r="A28" s="1" t="n">
        <v>22</v>
      </c>
      <c r="B28" s="1" t="n">
        <f aca="false">cleaned_data!F23</f>
        <v>2121</v>
      </c>
      <c r="C28" s="1" t="n">
        <f aca="false">cleaned_data!E23</f>
        <v>33518.88</v>
      </c>
      <c r="D28" s="1" t="n">
        <f aca="false">cleaned_data!H23</f>
        <v>8</v>
      </c>
      <c r="E28" s="1" t="n">
        <f aca="false">cleaned_data!I23</f>
        <v>88.5</v>
      </c>
      <c r="F28" s="1" t="n">
        <f aca="false">cleaned_data!G23</f>
        <v>0.176</v>
      </c>
      <c r="G28" s="1" t="n">
        <f aca="false">cleaned_data!K23</f>
        <v>0</v>
      </c>
      <c r="H28" s="1" t="n">
        <f aca="false">dummy_variables!E26</f>
        <v>0</v>
      </c>
      <c r="I28" s="1" t="n">
        <f aca="false">dummy_variables!F26</f>
        <v>1</v>
      </c>
      <c r="J28" s="1" t="n">
        <f aca="false">dummy_variables!G26</f>
        <v>0</v>
      </c>
      <c r="K28" s="1" t="n">
        <f aca="false">dummy_variables!H26</f>
        <v>1</v>
      </c>
      <c r="L28" s="1" t="n">
        <f aca="false">dummy_variables!I26</f>
        <v>0</v>
      </c>
      <c r="M28" s="1" t="n">
        <f aca="false">dummy_variables!J26</f>
        <v>0</v>
      </c>
    </row>
    <row r="29" customFormat="false" ht="15" hidden="false" customHeight="true" outlineLevel="0" collapsed="false">
      <c r="A29" s="1" t="n">
        <v>23</v>
      </c>
      <c r="B29" s="1" t="n">
        <f aca="false">cleaned_data!F24</f>
        <v>3364</v>
      </c>
      <c r="C29" s="1" t="n">
        <f aca="false">cleaned_data!E24</f>
        <v>42267.37</v>
      </c>
      <c r="D29" s="1" t="n">
        <f aca="false">cleaned_data!H24</f>
        <v>13</v>
      </c>
      <c r="E29" s="1" t="n">
        <f aca="false">cleaned_data!I24</f>
        <v>82</v>
      </c>
      <c r="F29" s="1" t="n">
        <f aca="false">cleaned_data!G24</f>
        <v>0.16</v>
      </c>
      <c r="G29" s="1" t="n">
        <f aca="false">cleaned_data!K24</f>
        <v>1</v>
      </c>
      <c r="H29" s="1" t="n">
        <f aca="false">dummy_variables!E27</f>
        <v>0</v>
      </c>
      <c r="I29" s="1" t="n">
        <f aca="false">dummy_variables!F27</f>
        <v>1</v>
      </c>
      <c r="J29" s="1" t="n">
        <f aca="false">dummy_variables!G27</f>
        <v>0</v>
      </c>
      <c r="K29" s="1" t="n">
        <f aca="false">dummy_variables!H27</f>
        <v>1</v>
      </c>
      <c r="L29" s="1" t="n">
        <f aca="false">dummy_variables!I27</f>
        <v>0</v>
      </c>
      <c r="M29" s="1" t="n">
        <f aca="false">dummy_variables!J27</f>
        <v>0</v>
      </c>
    </row>
    <row r="30" customFormat="false" ht="15" hidden="false" customHeight="true" outlineLevel="0" collapsed="false">
      <c r="A30" s="1" t="n">
        <v>24</v>
      </c>
      <c r="B30" s="1" t="n">
        <f aca="false">cleaned_data!F25</f>
        <v>2613</v>
      </c>
      <c r="C30" s="1" t="n">
        <f aca="false">cleaned_data!E25</f>
        <v>62060.43</v>
      </c>
      <c r="D30" s="1" t="n">
        <f aca="false">cleaned_data!H25</f>
        <v>12</v>
      </c>
      <c r="E30" s="1" t="n">
        <f aca="false">cleaned_data!I25</f>
        <v>92.1</v>
      </c>
      <c r="F30" s="1" t="n">
        <f aca="false">cleaned_data!G25</f>
        <v>0.216</v>
      </c>
      <c r="G30" s="1" t="n">
        <f aca="false">cleaned_data!K25</f>
        <v>0</v>
      </c>
      <c r="H30" s="1" t="n">
        <f aca="false">dummy_variables!E28</f>
        <v>0</v>
      </c>
      <c r="I30" s="1" t="n">
        <f aca="false">dummy_variables!F28</f>
        <v>1</v>
      </c>
      <c r="J30" s="1" t="n">
        <f aca="false">dummy_variables!G28</f>
        <v>0</v>
      </c>
      <c r="K30" s="1" t="n">
        <f aca="false">dummy_variables!H28</f>
        <v>1</v>
      </c>
      <c r="L30" s="1" t="n">
        <f aca="false">dummy_variables!I28</f>
        <v>0</v>
      </c>
      <c r="M30" s="1" t="n">
        <f aca="false">dummy_variables!J28</f>
        <v>0</v>
      </c>
    </row>
    <row r="31" customFormat="false" ht="15" hidden="false" customHeight="true" outlineLevel="0" collapsed="false">
      <c r="A31" s="1" t="n">
        <v>25</v>
      </c>
      <c r="B31" s="1" t="n">
        <f aca="false">cleaned_data!F26</f>
        <v>10218</v>
      </c>
      <c r="C31" s="1" t="n">
        <f aca="false">cleaned_data!E26</f>
        <v>57696.69</v>
      </c>
      <c r="D31" s="1" t="n">
        <f aca="false">cleaned_data!H26</f>
        <v>25</v>
      </c>
      <c r="E31" s="1" t="n">
        <f aca="false">cleaned_data!I26</f>
        <v>94.8</v>
      </c>
      <c r="F31" s="1" t="n">
        <f aca="false">cleaned_data!G26</f>
        <v>0.121</v>
      </c>
      <c r="G31" s="1" t="n">
        <f aca="false">cleaned_data!K26</f>
        <v>0</v>
      </c>
      <c r="H31" s="1" t="n">
        <f aca="false">dummy_variables!E29</f>
        <v>1</v>
      </c>
      <c r="I31" s="1" t="n">
        <f aca="false">dummy_variables!F29</f>
        <v>0</v>
      </c>
      <c r="J31" s="1" t="n">
        <f aca="false">dummy_variables!G29</f>
        <v>0</v>
      </c>
      <c r="K31" s="1" t="n">
        <f aca="false">dummy_variables!H29</f>
        <v>0</v>
      </c>
      <c r="L31" s="1" t="n">
        <f aca="false">dummy_variables!I29</f>
        <v>0</v>
      </c>
      <c r="M31" s="1" t="n">
        <f aca="false">dummy_variables!J29</f>
        <v>1</v>
      </c>
    </row>
    <row r="32" customFormat="false" ht="15" hidden="false" customHeight="true" outlineLevel="0" collapsed="false">
      <c r="A32" s="1" t="n">
        <v>26</v>
      </c>
      <c r="B32" s="1" t="n">
        <f aca="false">cleaned_data!F27</f>
        <v>8927</v>
      </c>
      <c r="C32" s="1" t="n">
        <f aca="false">cleaned_data!E27</f>
        <v>172415.52</v>
      </c>
      <c r="D32" s="1" t="n">
        <f aca="false">cleaned_data!H27</f>
        <v>22</v>
      </c>
      <c r="E32" s="1" t="n">
        <f aca="false">cleaned_data!I27</f>
        <v>86.2</v>
      </c>
      <c r="F32" s="1" t="n">
        <f aca="false">cleaned_data!G27</f>
        <v>0.14</v>
      </c>
      <c r="G32" s="1" t="n">
        <f aca="false">cleaned_data!K27</f>
        <v>0</v>
      </c>
      <c r="H32" s="1" t="n">
        <f aca="false">dummy_variables!E30</f>
        <v>1</v>
      </c>
      <c r="I32" s="1" t="n">
        <f aca="false">dummy_variables!F30</f>
        <v>0</v>
      </c>
      <c r="J32" s="1" t="n">
        <f aca="false">dummy_variables!G30</f>
        <v>0</v>
      </c>
      <c r="K32" s="1" t="n">
        <f aca="false">dummy_variables!H30</f>
        <v>0</v>
      </c>
      <c r="L32" s="1" t="n">
        <f aca="false">dummy_variables!I30</f>
        <v>0</v>
      </c>
      <c r="M32" s="1" t="n">
        <f aca="false">dummy_variables!J30</f>
        <v>1</v>
      </c>
    </row>
    <row r="33" customFormat="false" ht="15" hidden="false" customHeight="true" outlineLevel="0" collapsed="false">
      <c r="A33" s="1" t="n">
        <v>27</v>
      </c>
      <c r="B33" s="1" t="n">
        <f aca="false">cleaned_data!F28</f>
        <v>9315</v>
      </c>
      <c r="C33" s="1" t="n">
        <f aca="false">cleaned_data!E28</f>
        <v>55270.52</v>
      </c>
      <c r="D33" s="1" t="n">
        <f aca="false">cleaned_data!H28</f>
        <v>23</v>
      </c>
      <c r="E33" s="1" t="n">
        <f aca="false">cleaned_data!I28</f>
        <v>91.9</v>
      </c>
      <c r="F33" s="1" t="n">
        <f aca="false">cleaned_data!G28</f>
        <v>0.169</v>
      </c>
      <c r="G33" s="1" t="n">
        <f aca="false">cleaned_data!K28</f>
        <v>0</v>
      </c>
      <c r="H33" s="1" t="n">
        <f aca="false">dummy_variables!E31</f>
        <v>1</v>
      </c>
      <c r="I33" s="1" t="n">
        <f aca="false">dummy_variables!F31</f>
        <v>0</v>
      </c>
      <c r="J33" s="1" t="n">
        <f aca="false">dummy_variables!G31</f>
        <v>0</v>
      </c>
      <c r="K33" s="1" t="n">
        <f aca="false">dummy_variables!H31</f>
        <v>0</v>
      </c>
      <c r="L33" s="1" t="n">
        <f aca="false">dummy_variables!I31</f>
        <v>0</v>
      </c>
      <c r="M33" s="1" t="n">
        <f aca="false">dummy_variables!J31</f>
        <v>1</v>
      </c>
    </row>
    <row r="34" customFormat="false" ht="15" hidden="false" customHeight="true" outlineLevel="0" collapsed="false">
      <c r="A34" s="1" t="n">
        <v>28</v>
      </c>
      <c r="B34" s="1" t="n">
        <f aca="false">cleaned_data!F29</f>
        <v>7223</v>
      </c>
      <c r="C34" s="1" t="n">
        <f aca="false">cleaned_data!E29</f>
        <v>52715.1</v>
      </c>
      <c r="D34" s="1" t="n">
        <f aca="false">cleaned_data!H29</f>
        <v>16</v>
      </c>
      <c r="E34" s="1" t="n">
        <f aca="false">cleaned_data!I29</f>
        <v>84.2</v>
      </c>
      <c r="F34" s="1" t="n">
        <f aca="false">cleaned_data!G29</f>
        <v>0.122</v>
      </c>
      <c r="G34" s="1" t="n">
        <f aca="false">cleaned_data!K29</f>
        <v>0</v>
      </c>
      <c r="H34" s="1" t="n">
        <f aca="false">dummy_variables!E32</f>
        <v>1</v>
      </c>
      <c r="I34" s="1" t="n">
        <f aca="false">dummy_variables!F32</f>
        <v>0</v>
      </c>
      <c r="J34" s="1" t="n">
        <f aca="false">dummy_variables!G32</f>
        <v>0</v>
      </c>
      <c r="K34" s="1" t="n">
        <f aca="false">dummy_variables!H32</f>
        <v>0</v>
      </c>
      <c r="L34" s="1" t="n">
        <f aca="false">dummy_variables!I32</f>
        <v>0</v>
      </c>
      <c r="M34" s="1" t="n">
        <f aca="false">dummy_variables!J32</f>
        <v>1</v>
      </c>
    </row>
    <row r="35" customFormat="false" ht="15" hidden="false" customHeight="true" outlineLevel="0" collapsed="false">
      <c r="A35" s="1" t="n">
        <v>29</v>
      </c>
      <c r="B35" s="1" t="n">
        <f aca="false">cleaned_data!F30</f>
        <v>3988</v>
      </c>
      <c r="C35" s="1" t="n">
        <f aca="false">cleaned_data!E30</f>
        <v>68600.62</v>
      </c>
      <c r="D35" s="1" t="n">
        <f aca="false">cleaned_data!H30</f>
        <v>11</v>
      </c>
      <c r="E35" s="1" t="n">
        <f aca="false">cleaned_data!I30</f>
        <v>85</v>
      </c>
      <c r="F35" s="1" t="n">
        <f aca="false">cleaned_data!G30</f>
        <v>0.124</v>
      </c>
      <c r="G35" s="1" t="n">
        <f aca="false">cleaned_data!K30</f>
        <v>0</v>
      </c>
      <c r="H35" s="1" t="n">
        <f aca="false">dummy_variables!E33</f>
        <v>0</v>
      </c>
      <c r="I35" s="1" t="n">
        <f aca="false">dummy_variables!F33</f>
        <v>1</v>
      </c>
      <c r="J35" s="1" t="n">
        <f aca="false">dummy_variables!G33</f>
        <v>0</v>
      </c>
      <c r="K35" s="1" t="n">
        <f aca="false">dummy_variables!H33</f>
        <v>0</v>
      </c>
      <c r="L35" s="1" t="n">
        <f aca="false">dummy_variables!I33</f>
        <v>0</v>
      </c>
      <c r="M35" s="1" t="n">
        <f aca="false">dummy_variables!J33</f>
        <v>0</v>
      </c>
    </row>
    <row r="36" customFormat="false" ht="15" hidden="false" customHeight="true" outlineLevel="0" collapsed="false">
      <c r="A36" s="1" t="n">
        <v>30</v>
      </c>
      <c r="B36" s="1" t="n">
        <f aca="false">cleaned_data!F31</f>
        <v>2390</v>
      </c>
      <c r="C36" s="1" t="n">
        <f aca="false">cleaned_data!E31</f>
        <v>63176.73</v>
      </c>
      <c r="D36" s="1" t="n">
        <f aca="false">cleaned_data!H31</f>
        <v>9</v>
      </c>
      <c r="E36" s="1" t="n">
        <f aca="false">cleaned_data!I31</f>
        <v>87.5</v>
      </c>
      <c r="F36" s="1" t="n">
        <f aca="false">cleaned_data!G31</f>
        <v>0.216</v>
      </c>
      <c r="G36" s="1" t="n">
        <f aca="false">cleaned_data!K31</f>
        <v>0</v>
      </c>
      <c r="H36" s="1" t="n">
        <f aca="false">dummy_variables!E34</f>
        <v>0</v>
      </c>
      <c r="I36" s="1" t="n">
        <f aca="false">dummy_variables!F34</f>
        <v>1</v>
      </c>
      <c r="J36" s="1" t="n">
        <f aca="false">dummy_variables!G34</f>
        <v>0</v>
      </c>
      <c r="K36" s="1" t="n">
        <f aca="false">dummy_variables!H34</f>
        <v>0</v>
      </c>
      <c r="L36" s="1" t="n">
        <f aca="false">dummy_variables!I34</f>
        <v>0</v>
      </c>
      <c r="M36" s="1" t="n">
        <f aca="false">dummy_variables!J34</f>
        <v>0</v>
      </c>
    </row>
    <row r="37" customFormat="false" ht="15" hidden="false" customHeight="true" outlineLevel="0" collapsed="false">
      <c r="A37" s="1" t="n">
        <v>31</v>
      </c>
      <c r="B37" s="1" t="n">
        <f aca="false">cleaned_data!F32</f>
        <v>2471</v>
      </c>
      <c r="C37" s="1" t="n">
        <f aca="false">cleaned_data!E32</f>
        <v>44970.08</v>
      </c>
      <c r="D37" s="1" t="n">
        <f aca="false">cleaned_data!H32</f>
        <v>11</v>
      </c>
      <c r="E37" s="1" t="n">
        <f aca="false">cleaned_data!I32</f>
        <v>87.6</v>
      </c>
      <c r="F37" s="1" t="n">
        <f aca="false">cleaned_data!G32</f>
        <v>0.136</v>
      </c>
      <c r="G37" s="1" t="n">
        <f aca="false">cleaned_data!K32</f>
        <v>1</v>
      </c>
      <c r="H37" s="1" t="n">
        <f aca="false">dummy_variables!E35</f>
        <v>0</v>
      </c>
      <c r="I37" s="1" t="n">
        <f aca="false">dummy_variables!F35</f>
        <v>1</v>
      </c>
      <c r="J37" s="1" t="n">
        <f aca="false">dummy_variables!G35</f>
        <v>0</v>
      </c>
      <c r="K37" s="1" t="n">
        <f aca="false">dummy_variables!H35</f>
        <v>0</v>
      </c>
      <c r="L37" s="1" t="n">
        <f aca="false">dummy_variables!I35</f>
        <v>0</v>
      </c>
      <c r="M37" s="1" t="n">
        <f aca="false">dummy_variables!J35</f>
        <v>0</v>
      </c>
    </row>
    <row r="38" customFormat="false" ht="15" hidden="false" customHeight="true" outlineLevel="0" collapsed="false">
      <c r="A38" s="1" t="n">
        <v>32</v>
      </c>
      <c r="B38" s="1" t="n">
        <f aca="false">cleaned_data!F33</f>
        <v>971</v>
      </c>
      <c r="C38" s="1" t="n">
        <f aca="false">cleaned_data!E33</f>
        <v>69816.35</v>
      </c>
      <c r="D38" s="1" t="n">
        <f aca="false">cleaned_data!H33</f>
        <v>5</v>
      </c>
      <c r="E38" s="1" t="n">
        <f aca="false">cleaned_data!I33</f>
        <v>89.9</v>
      </c>
      <c r="F38" s="1" t="n">
        <f aca="false">cleaned_data!G33</f>
        <v>0.168</v>
      </c>
      <c r="G38" s="1" t="n">
        <f aca="false">cleaned_data!K33</f>
        <v>0</v>
      </c>
      <c r="H38" s="1" t="n">
        <f aca="false">dummy_variables!E36</f>
        <v>0</v>
      </c>
      <c r="I38" s="1" t="n">
        <f aca="false">dummy_variables!F36</f>
        <v>1</v>
      </c>
      <c r="J38" s="1" t="n">
        <f aca="false">dummy_variables!G36</f>
        <v>0</v>
      </c>
      <c r="K38" s="1" t="n">
        <f aca="false">dummy_variables!H36</f>
        <v>0</v>
      </c>
      <c r="L38" s="1" t="n">
        <f aca="false">dummy_variables!I36</f>
        <v>0</v>
      </c>
      <c r="M38" s="1" t="n">
        <f aca="false">dummy_variables!J36</f>
        <v>0</v>
      </c>
    </row>
    <row r="39" customFormat="false" ht="15" hidden="false" customHeight="true" outlineLevel="0" collapsed="false">
      <c r="A39" s="1" t="n">
        <v>33</v>
      </c>
      <c r="B39" s="1" t="n">
        <f aca="false">cleaned_data!F34</f>
        <v>9429</v>
      </c>
      <c r="C39" s="1" t="n">
        <f aca="false">cleaned_data!E34</f>
        <v>54597.83</v>
      </c>
      <c r="D39" s="1" t="n">
        <f aca="false">cleaned_data!H34</f>
        <v>21</v>
      </c>
      <c r="E39" s="1" t="n">
        <f aca="false">cleaned_data!I34</f>
        <v>83.3</v>
      </c>
      <c r="F39" s="1" t="n">
        <f aca="false">cleaned_data!G34</f>
        <v>0.188</v>
      </c>
      <c r="G39" s="1" t="n">
        <f aca="false">cleaned_data!K34</f>
        <v>0</v>
      </c>
      <c r="H39" s="1" t="n">
        <f aca="false">dummy_variables!E37</f>
        <v>0</v>
      </c>
      <c r="I39" s="1" t="n">
        <f aca="false">dummy_variables!F37</f>
        <v>1</v>
      </c>
      <c r="J39" s="1" t="n">
        <f aca="false">dummy_variables!G37</f>
        <v>0</v>
      </c>
      <c r="K39" s="1" t="n">
        <f aca="false">dummy_variables!H37</f>
        <v>1</v>
      </c>
      <c r="L39" s="1" t="n">
        <f aca="false">dummy_variables!I37</f>
        <v>0</v>
      </c>
      <c r="M39" s="1" t="n">
        <f aca="false">dummy_variables!J37</f>
        <v>0</v>
      </c>
    </row>
    <row r="40" customFormat="false" ht="15" hidden="false" customHeight="true" outlineLevel="0" collapsed="false">
      <c r="A40" s="1" t="n">
        <v>34</v>
      </c>
      <c r="B40" s="1" t="n">
        <f aca="false">cleaned_data!F35</f>
        <v>11695</v>
      </c>
      <c r="C40" s="1" t="n">
        <f aca="false">cleaned_data!E35</f>
        <v>73771.91</v>
      </c>
      <c r="D40" s="1" t="n">
        <f aca="false">cleaned_data!H35</f>
        <v>25</v>
      </c>
      <c r="E40" s="1" t="n">
        <f aca="false">cleaned_data!I35</f>
        <v>84.7</v>
      </c>
      <c r="F40" s="1" t="n">
        <f aca="false">cleaned_data!G35</f>
        <v>0.07</v>
      </c>
      <c r="G40" s="1" t="n">
        <f aca="false">cleaned_data!K35</f>
        <v>0</v>
      </c>
      <c r="H40" s="1" t="n">
        <f aca="false">dummy_variables!E38</f>
        <v>0</v>
      </c>
      <c r="I40" s="1" t="n">
        <f aca="false">dummy_variables!F38</f>
        <v>1</v>
      </c>
      <c r="J40" s="1" t="n">
        <f aca="false">dummy_variables!G38</f>
        <v>0</v>
      </c>
      <c r="K40" s="1" t="n">
        <f aca="false">dummy_variables!H38</f>
        <v>1</v>
      </c>
      <c r="L40" s="1" t="n">
        <f aca="false">dummy_variables!I38</f>
        <v>0</v>
      </c>
      <c r="M40" s="1" t="n">
        <f aca="false">dummy_variables!J38</f>
        <v>0</v>
      </c>
    </row>
    <row r="41" customFormat="false" ht="15" hidden="false" customHeight="true" outlineLevel="0" collapsed="false">
      <c r="A41" s="1" t="n">
        <v>35</v>
      </c>
      <c r="B41" s="1" t="n">
        <f aca="false">cleaned_data!F36</f>
        <v>9449</v>
      </c>
      <c r="C41" s="1" t="n">
        <f aca="false">cleaned_data!E36</f>
        <v>74413.88</v>
      </c>
      <c r="D41" s="1" t="n">
        <f aca="false">cleaned_data!H36</f>
        <v>23</v>
      </c>
      <c r="E41" s="1" t="n">
        <f aca="false">cleaned_data!I36</f>
        <v>92.1</v>
      </c>
      <c r="F41" s="1" t="n">
        <f aca="false">cleaned_data!G36</f>
        <v>0.039</v>
      </c>
      <c r="G41" s="1" t="n">
        <f aca="false">cleaned_data!K36</f>
        <v>0</v>
      </c>
      <c r="H41" s="1" t="n">
        <f aca="false">dummy_variables!E39</f>
        <v>0</v>
      </c>
      <c r="I41" s="1" t="n">
        <f aca="false">dummy_variables!F39</f>
        <v>1</v>
      </c>
      <c r="J41" s="1" t="n">
        <f aca="false">dummy_variables!G39</f>
        <v>0</v>
      </c>
      <c r="K41" s="1" t="n">
        <f aca="false">dummy_variables!H39</f>
        <v>1</v>
      </c>
      <c r="L41" s="1" t="n">
        <f aca="false">dummy_variables!I39</f>
        <v>0</v>
      </c>
      <c r="M41" s="1" t="n">
        <f aca="false">dummy_variables!J39</f>
        <v>0</v>
      </c>
    </row>
    <row r="42" customFormat="false" ht="15" hidden="false" customHeight="true" outlineLevel="0" collapsed="false">
      <c r="A42" s="1" t="n">
        <v>36</v>
      </c>
      <c r="B42" s="1" t="n">
        <f aca="false">cleaned_data!F37</f>
        <v>10453</v>
      </c>
      <c r="C42" s="1" t="n">
        <f aca="false">cleaned_data!E37</f>
        <v>52483.77</v>
      </c>
      <c r="D42" s="1" t="n">
        <f aca="false">cleaned_data!H37</f>
        <v>25</v>
      </c>
      <c r="E42" s="1" t="n">
        <f aca="false">cleaned_data!I37</f>
        <v>99</v>
      </c>
      <c r="F42" s="1" t="n">
        <f aca="false">cleaned_data!G37</f>
        <v>0.247</v>
      </c>
      <c r="G42" s="1" t="n">
        <f aca="false">cleaned_data!K37</f>
        <v>0</v>
      </c>
      <c r="H42" s="1" t="n">
        <f aca="false">dummy_variables!E40</f>
        <v>0</v>
      </c>
      <c r="I42" s="1" t="n">
        <f aca="false">dummy_variables!F40</f>
        <v>1</v>
      </c>
      <c r="J42" s="1" t="n">
        <f aca="false">dummy_variables!G40</f>
        <v>0</v>
      </c>
      <c r="K42" s="1" t="n">
        <f aca="false">dummy_variables!H40</f>
        <v>1</v>
      </c>
      <c r="L42" s="1" t="n">
        <f aca="false">dummy_variables!I40</f>
        <v>0</v>
      </c>
      <c r="M42" s="1" t="n">
        <f aca="false">dummy_variables!J40</f>
        <v>0</v>
      </c>
    </row>
    <row r="43" customFormat="false" ht="15" hidden="false" customHeight="true" outlineLevel="0" collapsed="false">
      <c r="A43" s="1" t="n">
        <v>37</v>
      </c>
      <c r="B43" s="1" t="n">
        <f aca="false">cleaned_data!F38</f>
        <v>8838</v>
      </c>
      <c r="C43" s="1" t="n">
        <f aca="false">cleaned_data!E38</f>
        <v>75269.87</v>
      </c>
      <c r="D43" s="1" t="n">
        <f aca="false">cleaned_data!H38</f>
        <v>21</v>
      </c>
      <c r="E43" s="1" t="n">
        <f aca="false">cleaned_data!I38</f>
        <v>83.1</v>
      </c>
      <c r="F43" s="1" t="n">
        <f aca="false">cleaned_data!G38</f>
        <v>0.092</v>
      </c>
      <c r="G43" s="1" t="n">
        <f aca="false">cleaned_data!K38</f>
        <v>1</v>
      </c>
      <c r="H43" s="1" t="n">
        <f aca="false">dummy_variables!E41</f>
        <v>1</v>
      </c>
      <c r="I43" s="1" t="n">
        <f aca="false">dummy_variables!F41</f>
        <v>0</v>
      </c>
      <c r="J43" s="1" t="n">
        <f aca="false">dummy_variables!G41</f>
        <v>0</v>
      </c>
      <c r="K43" s="1" t="n">
        <f aca="false">dummy_variables!H41</f>
        <v>1</v>
      </c>
      <c r="L43" s="1" t="n">
        <f aca="false">dummy_variables!I41</f>
        <v>0</v>
      </c>
      <c r="M43" s="1" t="n">
        <f aca="false">dummy_variables!J41</f>
        <v>0</v>
      </c>
    </row>
    <row r="44" customFormat="false" ht="15" hidden="false" customHeight="true" outlineLevel="0" collapsed="false">
      <c r="A44" s="1" t="n">
        <v>38</v>
      </c>
      <c r="B44" s="1" t="n">
        <f aca="false">cleaned_data!F39</f>
        <v>8156</v>
      </c>
      <c r="C44" s="1" t="n">
        <f aca="false">cleaned_data!E39</f>
        <v>61245.41</v>
      </c>
      <c r="D44" s="1" t="n">
        <f aca="false">cleaned_data!H39</f>
        <v>19</v>
      </c>
      <c r="E44" s="1" t="n">
        <f aca="false">cleaned_data!I39</f>
        <v>92.9</v>
      </c>
      <c r="F44" s="1" t="n">
        <f aca="false">cleaned_data!G39</f>
        <v>0.156</v>
      </c>
      <c r="G44" s="1" t="n">
        <f aca="false">cleaned_data!K39</f>
        <v>0</v>
      </c>
      <c r="H44" s="1" t="n">
        <f aca="false">dummy_variables!E42</f>
        <v>1</v>
      </c>
      <c r="I44" s="1" t="n">
        <f aca="false">dummy_variables!F42</f>
        <v>0</v>
      </c>
      <c r="J44" s="1" t="n">
        <f aca="false">dummy_variables!G42</f>
        <v>0</v>
      </c>
      <c r="K44" s="1" t="n">
        <f aca="false">dummy_variables!H42</f>
        <v>1</v>
      </c>
      <c r="L44" s="1" t="n">
        <f aca="false">dummy_variables!I42</f>
        <v>0</v>
      </c>
      <c r="M44" s="1" t="n">
        <f aca="false">dummy_variables!J42</f>
        <v>0</v>
      </c>
    </row>
    <row r="45" customFormat="false" ht="15" hidden="false" customHeight="true" outlineLevel="0" collapsed="false">
      <c r="A45" s="1" t="n">
        <v>39</v>
      </c>
      <c r="B45" s="1" t="n">
        <f aca="false">cleaned_data!F40</f>
        <v>7562</v>
      </c>
      <c r="C45" s="1" t="n">
        <f aca="false">cleaned_data!E40</f>
        <v>93381.26</v>
      </c>
      <c r="D45" s="1" t="n">
        <f aca="false">cleaned_data!H40</f>
        <v>19</v>
      </c>
      <c r="E45" s="1" t="n">
        <f aca="false">cleaned_data!I40</f>
        <v>82.9</v>
      </c>
      <c r="F45" s="1" t="n">
        <f aca="false">cleaned_data!G40</f>
        <v>0.198</v>
      </c>
      <c r="G45" s="1" t="n">
        <f aca="false">cleaned_data!K40</f>
        <v>0</v>
      </c>
      <c r="H45" s="1" t="n">
        <f aca="false">dummy_variables!E43</f>
        <v>1</v>
      </c>
      <c r="I45" s="1" t="n">
        <f aca="false">dummy_variables!F43</f>
        <v>0</v>
      </c>
      <c r="J45" s="1" t="n">
        <f aca="false">dummy_variables!G43</f>
        <v>0</v>
      </c>
      <c r="K45" s="1" t="n">
        <f aca="false">dummy_variables!H43</f>
        <v>1</v>
      </c>
      <c r="L45" s="1" t="n">
        <f aca="false">dummy_variables!I43</f>
        <v>0</v>
      </c>
      <c r="M45" s="1" t="n">
        <f aca="false">dummy_variables!J43</f>
        <v>0</v>
      </c>
    </row>
    <row r="46" customFormat="false" ht="15" hidden="false" customHeight="true" outlineLevel="0" collapsed="false">
      <c r="A46" s="1" t="n">
        <v>40</v>
      </c>
      <c r="B46" s="1" t="n">
        <f aca="false">cleaned_data!F41</f>
        <v>9598</v>
      </c>
      <c r="C46" s="1" t="n">
        <f aca="false">cleaned_data!E41</f>
        <v>65012.19</v>
      </c>
      <c r="D46" s="1" t="n">
        <f aca="false">cleaned_data!H41</f>
        <v>24</v>
      </c>
      <c r="E46" s="1" t="n">
        <f aca="false">cleaned_data!I41</f>
        <v>98.3</v>
      </c>
      <c r="F46" s="1" t="n">
        <f aca="false">cleaned_data!G41</f>
        <v>0.085</v>
      </c>
      <c r="G46" s="1" t="n">
        <f aca="false">cleaned_data!K41</f>
        <v>0</v>
      </c>
      <c r="H46" s="1" t="n">
        <f aca="false">dummy_variables!E44</f>
        <v>1</v>
      </c>
      <c r="I46" s="1" t="n">
        <f aca="false">dummy_variables!F44</f>
        <v>0</v>
      </c>
      <c r="J46" s="1" t="n">
        <f aca="false">dummy_variables!G44</f>
        <v>0</v>
      </c>
      <c r="K46" s="1" t="n">
        <f aca="false">dummy_variables!H44</f>
        <v>1</v>
      </c>
      <c r="L46" s="1" t="n">
        <f aca="false">dummy_variables!I44</f>
        <v>0</v>
      </c>
      <c r="M46" s="1" t="n">
        <f aca="false">dummy_variables!J44</f>
        <v>0</v>
      </c>
    </row>
    <row r="47" customFormat="false" ht="15" hidden="false" customHeight="true" outlineLevel="0" collapsed="false">
      <c r="A47" s="1" t="n">
        <v>41</v>
      </c>
      <c r="B47" s="1" t="n">
        <f aca="false">cleaned_data!F42</f>
        <v>3660</v>
      </c>
      <c r="C47" s="1" t="n">
        <f aca="false">cleaned_data!E42</f>
        <v>40462.94</v>
      </c>
      <c r="D47" s="1" t="n">
        <f aca="false">cleaned_data!H42</f>
        <v>11</v>
      </c>
      <c r="E47" s="1" t="n">
        <f aca="false">cleaned_data!I42</f>
        <v>95.2</v>
      </c>
      <c r="F47" s="1" t="n">
        <f aca="false">cleaned_data!G42</f>
        <v>0.218</v>
      </c>
      <c r="G47" s="1" t="n">
        <f aca="false">cleaned_data!K42</f>
        <v>0</v>
      </c>
      <c r="H47" s="1" t="n">
        <f aca="false">dummy_variables!E45</f>
        <v>1</v>
      </c>
      <c r="I47" s="1" t="n">
        <f aca="false">dummy_variables!F45</f>
        <v>0</v>
      </c>
      <c r="J47" s="1" t="n">
        <f aca="false">dummy_variables!G45</f>
        <v>0</v>
      </c>
      <c r="K47" s="1" t="n">
        <f aca="false">dummy_variables!H45</f>
        <v>0</v>
      </c>
      <c r="L47" s="1" t="n">
        <f aca="false">dummy_variables!I45</f>
        <v>0</v>
      </c>
      <c r="M47" s="1" t="n">
        <f aca="false">dummy_variables!J45</f>
        <v>0</v>
      </c>
    </row>
    <row r="48" customFormat="false" ht="15" hidden="false" customHeight="true" outlineLevel="0" collapsed="false">
      <c r="A48" s="1" t="n">
        <v>42</v>
      </c>
      <c r="B48" s="1" t="n">
        <f aca="false">cleaned_data!F43</f>
        <v>3227</v>
      </c>
      <c r="C48" s="1" t="n">
        <f aca="false">cleaned_data!E43</f>
        <v>46123.88</v>
      </c>
      <c r="D48" s="1" t="n">
        <f aca="false">cleaned_data!H43</f>
        <v>10</v>
      </c>
      <c r="E48" s="1" t="n">
        <f aca="false">cleaned_data!I43</f>
        <v>75.4</v>
      </c>
      <c r="F48" s="1" t="n">
        <f aca="false">cleaned_data!G43</f>
        <v>0.143</v>
      </c>
      <c r="G48" s="1" t="n">
        <f aca="false">cleaned_data!K43</f>
        <v>0</v>
      </c>
      <c r="H48" s="1" t="n">
        <f aca="false">dummy_variables!E46</f>
        <v>1</v>
      </c>
      <c r="I48" s="1" t="n">
        <f aca="false">dummy_variables!F46</f>
        <v>0</v>
      </c>
      <c r="J48" s="1" t="n">
        <f aca="false">dummy_variables!G46</f>
        <v>0</v>
      </c>
      <c r="K48" s="1" t="n">
        <f aca="false">dummy_variables!H46</f>
        <v>0</v>
      </c>
      <c r="L48" s="1" t="n">
        <f aca="false">dummy_variables!I46</f>
        <v>0</v>
      </c>
      <c r="M48" s="1" t="n">
        <f aca="false">dummy_variables!J46</f>
        <v>0</v>
      </c>
    </row>
    <row r="49" customFormat="false" ht="15" hidden="false" customHeight="true" outlineLevel="0" collapsed="false">
      <c r="A49" s="1" t="n">
        <v>43</v>
      </c>
      <c r="B49" s="1" t="n">
        <f aca="false">cleaned_data!F44</f>
        <v>3360</v>
      </c>
      <c r="C49" s="1" t="n">
        <f aca="false">cleaned_data!E44</f>
        <v>68077.54</v>
      </c>
      <c r="D49" s="1" t="n">
        <f aca="false">cleaned_data!H44</f>
        <v>14</v>
      </c>
      <c r="E49" s="1" t="n">
        <f aca="false">cleaned_data!I44</f>
        <v>88.2</v>
      </c>
      <c r="F49" s="1" t="n">
        <f aca="false">cleaned_data!G44</f>
        <v>0.128</v>
      </c>
      <c r="G49" s="1" t="n">
        <f aca="false">cleaned_data!K44</f>
        <v>1</v>
      </c>
      <c r="H49" s="1" t="n">
        <f aca="false">dummy_variables!E47</f>
        <v>1</v>
      </c>
      <c r="I49" s="1" t="n">
        <f aca="false">dummy_variables!F47</f>
        <v>0</v>
      </c>
      <c r="J49" s="1" t="n">
        <f aca="false">dummy_variables!G47</f>
        <v>0</v>
      </c>
      <c r="K49" s="1" t="n">
        <f aca="false">dummy_variables!H47</f>
        <v>0</v>
      </c>
      <c r="L49" s="1" t="n">
        <f aca="false">dummy_variables!I47</f>
        <v>0</v>
      </c>
      <c r="M49" s="1" t="n">
        <f aca="false">dummy_variables!J47</f>
        <v>0</v>
      </c>
    </row>
    <row r="50" customFormat="false" ht="15" hidden="false" customHeight="true" outlineLevel="0" collapsed="false">
      <c r="A50" s="1" t="n">
        <v>44</v>
      </c>
      <c r="B50" s="1" t="n">
        <f aca="false">cleaned_data!F45</f>
        <v>3642</v>
      </c>
      <c r="C50" s="1" t="n">
        <f aca="false">cleaned_data!E45</f>
        <v>64882.14</v>
      </c>
      <c r="D50" s="1" t="n">
        <f aca="false">cleaned_data!H45</f>
        <v>13</v>
      </c>
      <c r="E50" s="1" t="n">
        <f aca="false">cleaned_data!I45</f>
        <v>87.8</v>
      </c>
      <c r="F50" s="1" t="n">
        <f aca="false">cleaned_data!G45</f>
        <v>0.019</v>
      </c>
      <c r="G50" s="1" t="n">
        <f aca="false">cleaned_data!K45</f>
        <v>0</v>
      </c>
      <c r="H50" s="1" t="n">
        <f aca="false">dummy_variables!E48</f>
        <v>1</v>
      </c>
      <c r="I50" s="1" t="n">
        <f aca="false">dummy_variables!F48</f>
        <v>0</v>
      </c>
      <c r="J50" s="1" t="n">
        <f aca="false">dummy_variables!G48</f>
        <v>0</v>
      </c>
      <c r="K50" s="1" t="n">
        <f aca="false">dummy_variables!H48</f>
        <v>0</v>
      </c>
      <c r="L50" s="1" t="n">
        <f aca="false">dummy_variables!I48</f>
        <v>0</v>
      </c>
      <c r="M50" s="1" t="n">
        <f aca="false">dummy_variables!J48</f>
        <v>0</v>
      </c>
    </row>
    <row r="51" customFormat="false" ht="15" hidden="false" customHeight="true" outlineLevel="0" collapsed="false">
      <c r="A51" s="1" t="n">
        <v>45</v>
      </c>
      <c r="B51" s="1" t="n">
        <f aca="false">cleaned_data!F46</f>
        <v>5145</v>
      </c>
      <c r="C51" s="1" t="n">
        <f aca="false">cleaned_data!E46</f>
        <v>138855.51</v>
      </c>
      <c r="D51" s="1" t="n">
        <f aca="false">cleaned_data!H46</f>
        <v>17</v>
      </c>
      <c r="E51" s="1" t="n">
        <f aca="false">cleaned_data!I46</f>
        <v>88.2</v>
      </c>
      <c r="F51" s="1" t="n">
        <f aca="false">cleaned_data!G46</f>
        <v>0.06</v>
      </c>
      <c r="G51" s="1" t="n">
        <f aca="false">cleaned_data!K46</f>
        <v>0</v>
      </c>
      <c r="H51" s="1" t="n">
        <f aca="false">dummy_variables!E49</f>
        <v>0</v>
      </c>
      <c r="I51" s="1" t="n">
        <f aca="false">dummy_variables!F49</f>
        <v>1</v>
      </c>
      <c r="J51" s="1" t="n">
        <f aca="false">dummy_variables!G49</f>
        <v>0</v>
      </c>
      <c r="K51" s="1" t="n">
        <f aca="false">dummy_variables!H49</f>
        <v>0</v>
      </c>
      <c r="L51" s="1" t="n">
        <f aca="false">dummy_variables!I49</f>
        <v>0</v>
      </c>
      <c r="M51" s="1" t="n">
        <f aca="false">dummy_variables!J49</f>
        <v>1</v>
      </c>
    </row>
    <row r="52" customFormat="false" ht="15" hidden="false" customHeight="true" outlineLevel="0" collapsed="false">
      <c r="A52" s="1" t="n">
        <v>46</v>
      </c>
      <c r="B52" s="1" t="n">
        <f aca="false">cleaned_data!F47</f>
        <v>4460</v>
      </c>
      <c r="C52" s="1" t="n">
        <f aca="false">cleaned_data!E47</f>
        <v>63630.21</v>
      </c>
      <c r="D52" s="1" t="n">
        <f aca="false">cleaned_data!H47</f>
        <v>14</v>
      </c>
      <c r="E52" s="1" t="n">
        <f aca="false">cleaned_data!I47</f>
        <v>98.6</v>
      </c>
      <c r="F52" s="1" t="n">
        <f aca="false">cleaned_data!G47</f>
        <v>0.235</v>
      </c>
      <c r="G52" s="1" t="n">
        <f aca="false">cleaned_data!K47</f>
        <v>0</v>
      </c>
      <c r="H52" s="1" t="n">
        <f aca="false">dummy_variables!E50</f>
        <v>0</v>
      </c>
      <c r="I52" s="1" t="n">
        <f aca="false">dummy_variables!F50</f>
        <v>1</v>
      </c>
      <c r="J52" s="1" t="n">
        <f aca="false">dummy_variables!G50</f>
        <v>0</v>
      </c>
      <c r="K52" s="1" t="n">
        <f aca="false">dummy_variables!H50</f>
        <v>0</v>
      </c>
      <c r="L52" s="1" t="n">
        <f aca="false">dummy_variables!I50</f>
        <v>0</v>
      </c>
      <c r="M52" s="1" t="n">
        <f aca="false">dummy_variables!J50</f>
        <v>1</v>
      </c>
    </row>
    <row r="53" customFormat="false" ht="15" hidden="false" customHeight="true" outlineLevel="0" collapsed="false">
      <c r="A53" s="1" t="n">
        <v>47</v>
      </c>
      <c r="B53" s="1" t="n">
        <f aca="false">cleaned_data!F48</f>
        <v>3804</v>
      </c>
      <c r="C53" s="1" t="n">
        <f aca="false">cleaned_data!E48</f>
        <v>50043.65</v>
      </c>
      <c r="D53" s="1" t="n">
        <f aca="false">cleaned_data!H48</f>
        <v>11</v>
      </c>
      <c r="E53" s="1" t="n">
        <f aca="false">cleaned_data!I48</f>
        <v>90.9</v>
      </c>
      <c r="F53" s="1" t="n">
        <f aca="false">cleaned_data!G48</f>
        <v>0.113</v>
      </c>
      <c r="G53" s="1" t="n">
        <f aca="false">cleaned_data!K48</f>
        <v>1</v>
      </c>
      <c r="H53" s="1" t="n">
        <f aca="false">dummy_variables!E51</f>
        <v>0</v>
      </c>
      <c r="I53" s="1" t="n">
        <f aca="false">dummy_variables!F51</f>
        <v>1</v>
      </c>
      <c r="J53" s="1" t="n">
        <f aca="false">dummy_variables!G51</f>
        <v>0</v>
      </c>
      <c r="K53" s="1" t="n">
        <f aca="false">dummy_variables!H51</f>
        <v>0</v>
      </c>
      <c r="L53" s="1" t="n">
        <f aca="false">dummy_variables!I51</f>
        <v>0</v>
      </c>
      <c r="M53" s="1" t="n">
        <f aca="false">dummy_variables!J51</f>
        <v>1</v>
      </c>
    </row>
    <row r="54" customFormat="false" ht="15" hidden="false" customHeight="true" outlineLevel="0" collapsed="false">
      <c r="A54" s="1" t="n">
        <v>48</v>
      </c>
      <c r="B54" s="1" t="n">
        <f aca="false">cleaned_data!F49</f>
        <v>4074</v>
      </c>
      <c r="C54" s="1" t="n">
        <f aca="false">cleaned_data!E49</f>
        <v>42093.84</v>
      </c>
      <c r="D54" s="1" t="n">
        <f aca="false">cleaned_data!H49</f>
        <v>15</v>
      </c>
      <c r="E54" s="1" t="n">
        <f aca="false">cleaned_data!I49</f>
        <v>88</v>
      </c>
      <c r="F54" s="1" t="n">
        <f aca="false">cleaned_data!G49</f>
        <v>0.155</v>
      </c>
      <c r="G54" s="1" t="n">
        <f aca="false">cleaned_data!K49</f>
        <v>0</v>
      </c>
      <c r="H54" s="1" t="n">
        <f aca="false">dummy_variables!E52</f>
        <v>0</v>
      </c>
      <c r="I54" s="1" t="n">
        <f aca="false">dummy_variables!F52</f>
        <v>1</v>
      </c>
      <c r="J54" s="1" t="n">
        <f aca="false">dummy_variables!G52</f>
        <v>0</v>
      </c>
      <c r="K54" s="1" t="n">
        <f aca="false">dummy_variables!H52</f>
        <v>0</v>
      </c>
      <c r="L54" s="1" t="n">
        <f aca="false">dummy_variables!I52</f>
        <v>0</v>
      </c>
      <c r="M54" s="1" t="n">
        <f aca="false">dummy_variables!J52</f>
        <v>1</v>
      </c>
    </row>
    <row r="55" customFormat="false" ht="15" hidden="false" customHeight="true" outlineLevel="0" collapsed="false">
      <c r="A55" s="1" t="n">
        <v>49</v>
      </c>
      <c r="B55" s="1" t="n">
        <f aca="false">cleaned_data!F50</f>
        <v>5104</v>
      </c>
      <c r="C55" s="1" t="n">
        <f aca="false">cleaned_data!E50</f>
        <v>46624.05</v>
      </c>
      <c r="D55" s="1" t="n">
        <f aca="false">cleaned_data!H50</f>
        <v>11</v>
      </c>
      <c r="E55" s="1" t="n">
        <f aca="false">cleaned_data!I50</f>
        <v>97.3</v>
      </c>
      <c r="F55" s="1" t="n">
        <f aca="false">cleaned_data!G50</f>
        <v>0.109</v>
      </c>
      <c r="G55" s="1" t="n">
        <f aca="false">cleaned_data!K50</f>
        <v>1</v>
      </c>
      <c r="H55" s="1" t="n">
        <f aca="false">dummy_variables!E53</f>
        <v>1</v>
      </c>
      <c r="I55" s="1" t="n">
        <f aca="false">dummy_variables!F53</f>
        <v>0</v>
      </c>
      <c r="J55" s="1" t="n">
        <f aca="false">dummy_variables!G53</f>
        <v>0</v>
      </c>
      <c r="K55" s="1" t="n">
        <f aca="false">dummy_variables!H53</f>
        <v>1</v>
      </c>
      <c r="L55" s="1" t="n">
        <f aca="false">dummy_variables!I53</f>
        <v>0</v>
      </c>
      <c r="M55" s="1" t="n">
        <f aca="false">dummy_variables!J53</f>
        <v>0</v>
      </c>
    </row>
    <row r="56" customFormat="false" ht="15" hidden="false" customHeight="true" outlineLevel="0" collapsed="false">
      <c r="A56" s="1" t="n">
        <v>50</v>
      </c>
      <c r="B56" s="1" t="n">
        <f aca="false">cleaned_data!F51</f>
        <v>5559</v>
      </c>
      <c r="C56" s="1" t="n">
        <f aca="false">cleaned_data!E51</f>
        <v>49710.29</v>
      </c>
      <c r="D56" s="1" t="n">
        <f aca="false">cleaned_data!H51</f>
        <v>14</v>
      </c>
      <c r="E56" s="1" t="n">
        <f aca="false">cleaned_data!I51</f>
        <v>71</v>
      </c>
      <c r="F56" s="1" t="n">
        <f aca="false">cleaned_data!G51</f>
        <v>0.218</v>
      </c>
      <c r="G56" s="1" t="n">
        <f aca="false">cleaned_data!K51</f>
        <v>0</v>
      </c>
      <c r="H56" s="1" t="n">
        <f aca="false">dummy_variables!E54</f>
        <v>1</v>
      </c>
      <c r="I56" s="1" t="n">
        <f aca="false">dummy_variables!F54</f>
        <v>0</v>
      </c>
      <c r="J56" s="1" t="n">
        <f aca="false">dummy_variables!G54</f>
        <v>0</v>
      </c>
      <c r="K56" s="1" t="n">
        <f aca="false">dummy_variables!H54</f>
        <v>1</v>
      </c>
      <c r="L56" s="1" t="n">
        <f aca="false">dummy_variables!I54</f>
        <v>0</v>
      </c>
      <c r="M56" s="1" t="n">
        <f aca="false">dummy_variables!J54</f>
        <v>0</v>
      </c>
    </row>
    <row r="57" customFormat="false" ht="15" hidden="false" customHeight="true" outlineLevel="0" collapsed="false">
      <c r="A57" s="1" t="n">
        <v>51</v>
      </c>
      <c r="B57" s="1" t="n">
        <f aca="false">cleaned_data!F52</f>
        <v>5150</v>
      </c>
      <c r="C57" s="1" t="n">
        <f aca="false">cleaned_data!E52</f>
        <v>48287.85</v>
      </c>
      <c r="D57" s="1" t="n">
        <f aca="false">cleaned_data!H52</f>
        <v>12</v>
      </c>
      <c r="E57" s="1" t="n">
        <f aca="false">cleaned_data!I52</f>
        <v>80.4</v>
      </c>
      <c r="F57" s="1" t="n">
        <f aca="false">cleaned_data!G52</f>
        <v>0.008</v>
      </c>
      <c r="G57" s="1" t="n">
        <f aca="false">cleaned_data!K52</f>
        <v>0</v>
      </c>
      <c r="H57" s="1" t="n">
        <f aca="false">dummy_variables!E55</f>
        <v>1</v>
      </c>
      <c r="I57" s="1" t="n">
        <f aca="false">dummy_variables!F55</f>
        <v>0</v>
      </c>
      <c r="J57" s="1" t="n">
        <f aca="false">dummy_variables!G55</f>
        <v>0</v>
      </c>
      <c r="K57" s="1" t="n">
        <f aca="false">dummy_variables!H55</f>
        <v>1</v>
      </c>
      <c r="L57" s="1" t="n">
        <f aca="false">dummy_variables!I55</f>
        <v>0</v>
      </c>
      <c r="M57" s="1" t="n">
        <f aca="false">dummy_variables!J55</f>
        <v>0</v>
      </c>
    </row>
    <row r="58" customFormat="false" ht="15" hidden="false" customHeight="true" outlineLevel="0" collapsed="false">
      <c r="A58" s="1" t="n">
        <v>52</v>
      </c>
      <c r="B58" s="1" t="n">
        <f aca="false">cleaned_data!F53</f>
        <v>7189</v>
      </c>
      <c r="C58" s="1" t="n">
        <f aca="false">cleaned_data!E53</f>
        <v>65312.49</v>
      </c>
      <c r="D58" s="1" t="n">
        <f aca="false">cleaned_data!H53</f>
        <v>19</v>
      </c>
      <c r="E58" s="1" t="n">
        <f aca="false">cleaned_data!I53</f>
        <v>93.7</v>
      </c>
      <c r="F58" s="1" t="n">
        <f aca="false">cleaned_data!G53</f>
        <v>0.05</v>
      </c>
      <c r="G58" s="1" t="n">
        <f aca="false">cleaned_data!K53</f>
        <v>0</v>
      </c>
      <c r="H58" s="1" t="n">
        <f aca="false">dummy_variables!E56</f>
        <v>1</v>
      </c>
      <c r="I58" s="1" t="n">
        <f aca="false">dummy_variables!F56</f>
        <v>0</v>
      </c>
      <c r="J58" s="1" t="n">
        <f aca="false">dummy_variables!G56</f>
        <v>0</v>
      </c>
      <c r="K58" s="1" t="n">
        <f aca="false">dummy_variables!H56</f>
        <v>1</v>
      </c>
      <c r="L58" s="1" t="n">
        <f aca="false">dummy_variables!I56</f>
        <v>0</v>
      </c>
      <c r="M58" s="1" t="n">
        <f aca="false">dummy_variables!J56</f>
        <v>0</v>
      </c>
    </row>
    <row r="59" customFormat="false" ht="15" hidden="false" customHeight="true" outlineLevel="0" collapsed="false">
      <c r="A59" s="1" t="n">
        <v>53</v>
      </c>
      <c r="B59" s="1" t="n">
        <f aca="false">cleaned_data!F54</f>
        <v>3279</v>
      </c>
      <c r="C59" s="1" t="n">
        <f aca="false">cleaned_data!E54</f>
        <v>53015.46</v>
      </c>
      <c r="D59" s="1" t="n">
        <f aca="false">cleaned_data!H54</f>
        <v>9</v>
      </c>
      <c r="E59" s="1" t="n">
        <f aca="false">cleaned_data!I54</f>
        <v>84.3</v>
      </c>
      <c r="F59" s="1" t="n">
        <f aca="false">cleaned_data!G54</f>
        <v>0.087</v>
      </c>
      <c r="G59" s="1" t="n">
        <f aca="false">cleaned_data!K54</f>
        <v>0</v>
      </c>
      <c r="H59" s="1" t="n">
        <f aca="false">dummy_variables!E57</f>
        <v>0</v>
      </c>
      <c r="I59" s="1" t="n">
        <f aca="false">dummy_variables!F57</f>
        <v>0</v>
      </c>
      <c r="J59" s="1" t="n">
        <f aca="false">dummy_variables!G57</f>
        <v>0</v>
      </c>
      <c r="K59" s="1" t="n">
        <f aca="false">dummy_variables!H57</f>
        <v>0</v>
      </c>
      <c r="L59" s="1" t="n">
        <f aca="false">dummy_variables!I57</f>
        <v>0</v>
      </c>
      <c r="M59" s="1" t="n">
        <f aca="false">dummy_variables!J57</f>
        <v>1</v>
      </c>
    </row>
    <row r="60" customFormat="false" ht="15" hidden="false" customHeight="true" outlineLevel="0" collapsed="false">
      <c r="A60" s="1" t="n">
        <v>54</v>
      </c>
      <c r="B60" s="1" t="n">
        <f aca="false">cleaned_data!F55</f>
        <v>5887</v>
      </c>
      <c r="C60" s="1" t="n">
        <f aca="false">cleaned_data!E55</f>
        <v>99874.01</v>
      </c>
      <c r="D60" s="1" t="n">
        <f aca="false">cleaned_data!H55</f>
        <v>14</v>
      </c>
      <c r="E60" s="1" t="n">
        <f aca="false">cleaned_data!I55</f>
        <v>88.7</v>
      </c>
      <c r="F60" s="1" t="n">
        <f aca="false">cleaned_data!G55</f>
        <v>0.262</v>
      </c>
      <c r="G60" s="1" t="n">
        <f aca="false">cleaned_data!K55</f>
        <v>0</v>
      </c>
      <c r="H60" s="1" t="n">
        <f aca="false">dummy_variables!E58</f>
        <v>0</v>
      </c>
      <c r="I60" s="1" t="n">
        <f aca="false">dummy_variables!F58</f>
        <v>0</v>
      </c>
      <c r="J60" s="1" t="n">
        <f aca="false">dummy_variables!G58</f>
        <v>0</v>
      </c>
      <c r="K60" s="1" t="n">
        <f aca="false">dummy_variables!H58</f>
        <v>0</v>
      </c>
      <c r="L60" s="1" t="n">
        <f aca="false">dummy_variables!I58</f>
        <v>0</v>
      </c>
      <c r="M60" s="1" t="n">
        <f aca="false">dummy_variables!J58</f>
        <v>1</v>
      </c>
    </row>
    <row r="61" customFormat="false" ht="15" hidden="false" customHeight="true" outlineLevel="0" collapsed="false">
      <c r="A61" s="1" t="n">
        <v>55</v>
      </c>
      <c r="B61" s="1" t="n">
        <f aca="false">cleaned_data!F56</f>
        <v>5516</v>
      </c>
      <c r="C61" s="1" t="n">
        <f aca="false">cleaned_data!E56</f>
        <v>81195.5</v>
      </c>
      <c r="D61" s="1" t="n">
        <f aca="false">cleaned_data!H56</f>
        <v>14</v>
      </c>
      <c r="E61" s="1" t="n">
        <f aca="false">cleaned_data!I56</f>
        <v>88</v>
      </c>
      <c r="F61" s="1" t="n">
        <f aca="false">cleaned_data!G56</f>
        <v>0.106</v>
      </c>
      <c r="G61" s="1" t="n">
        <f aca="false">cleaned_data!K56</f>
        <v>0</v>
      </c>
      <c r="H61" s="1" t="n">
        <f aca="false">dummy_variables!E59</f>
        <v>0</v>
      </c>
      <c r="I61" s="1" t="n">
        <f aca="false">dummy_variables!F59</f>
        <v>0</v>
      </c>
      <c r="J61" s="1" t="n">
        <f aca="false">dummy_variables!G59</f>
        <v>0</v>
      </c>
      <c r="K61" s="1" t="n">
        <f aca="false">dummy_variables!H59</f>
        <v>0</v>
      </c>
      <c r="L61" s="1" t="n">
        <f aca="false">dummy_variables!I59</f>
        <v>0</v>
      </c>
      <c r="M61" s="1" t="n">
        <f aca="false">dummy_variables!J59</f>
        <v>1</v>
      </c>
    </row>
    <row r="62" customFormat="false" ht="15" hidden="false" customHeight="true" outlineLevel="0" collapsed="false">
      <c r="A62" s="1" t="n">
        <v>56</v>
      </c>
      <c r="B62" s="1" t="n">
        <f aca="false">cleaned_data!F57</f>
        <v>2863</v>
      </c>
      <c r="C62" s="1" t="n">
        <f aca="false">cleaned_data!E57</f>
        <v>27808.6</v>
      </c>
      <c r="D62" s="1" t="n">
        <f aca="false">cleaned_data!H57</f>
        <v>13</v>
      </c>
      <c r="E62" s="1" t="n">
        <f aca="false">cleaned_data!I57</f>
        <v>89.3</v>
      </c>
      <c r="F62" s="1" t="n">
        <f aca="false">cleaned_data!G57</f>
        <v>0.08</v>
      </c>
      <c r="G62" s="1" t="n">
        <f aca="false">cleaned_data!K57</f>
        <v>0</v>
      </c>
      <c r="H62" s="1" t="n">
        <f aca="false">dummy_variables!E60</f>
        <v>0</v>
      </c>
      <c r="I62" s="1" t="n">
        <f aca="false">dummy_variables!F60</f>
        <v>0</v>
      </c>
      <c r="J62" s="1" t="n">
        <f aca="false">dummy_variables!G60</f>
        <v>0</v>
      </c>
      <c r="K62" s="1" t="n">
        <f aca="false">dummy_variables!H60</f>
        <v>0</v>
      </c>
      <c r="L62" s="1" t="n">
        <f aca="false">dummy_variables!I60</f>
        <v>0</v>
      </c>
      <c r="M62" s="1" t="n">
        <f aca="false">dummy_variables!J60</f>
        <v>1</v>
      </c>
    </row>
    <row r="63" customFormat="false" ht="15" hidden="false" customHeight="true" outlineLevel="0" collapsed="false">
      <c r="A63" s="1" t="n">
        <v>57</v>
      </c>
      <c r="B63" s="1" t="n">
        <f aca="false">cleaned_data!F58</f>
        <v>2378</v>
      </c>
      <c r="C63" s="1" t="n">
        <f aca="false">cleaned_data!E58</f>
        <v>19365.06</v>
      </c>
      <c r="D63" s="1" t="n">
        <f aca="false">cleaned_data!H58</f>
        <v>12</v>
      </c>
      <c r="E63" s="1" t="n">
        <f aca="false">cleaned_data!I58</f>
        <v>94.8</v>
      </c>
      <c r="F63" s="1" t="n">
        <f aca="false">cleaned_data!G58</f>
        <v>0</v>
      </c>
      <c r="G63" s="1" t="n">
        <f aca="false">cleaned_data!K58</f>
        <v>0</v>
      </c>
      <c r="H63" s="1" t="n">
        <f aca="false">dummy_variables!E61</f>
        <v>0</v>
      </c>
      <c r="I63" s="1" t="n">
        <f aca="false">dummy_variables!F61</f>
        <v>0</v>
      </c>
      <c r="J63" s="1" t="n">
        <f aca="false">dummy_variables!G61</f>
        <v>1</v>
      </c>
      <c r="K63" s="1" t="n">
        <f aca="false">dummy_variables!H61</f>
        <v>0</v>
      </c>
      <c r="L63" s="1" t="n">
        <f aca="false">dummy_variables!I61</f>
        <v>0</v>
      </c>
      <c r="M63" s="1" t="n">
        <f aca="false">dummy_variables!J61</f>
        <v>0</v>
      </c>
    </row>
    <row r="64" customFormat="false" ht="15" hidden="false" customHeight="true" outlineLevel="0" collapsed="false">
      <c r="A64" s="1" t="n">
        <v>58</v>
      </c>
      <c r="B64" s="1" t="n">
        <f aca="false">cleaned_data!F59</f>
        <v>2515</v>
      </c>
      <c r="C64" s="1" t="n">
        <f aca="false">cleaned_data!E59</f>
        <v>59405.68</v>
      </c>
      <c r="D64" s="1" t="n">
        <f aca="false">cleaned_data!H59</f>
        <v>12</v>
      </c>
      <c r="E64" s="1" t="n">
        <f aca="false">cleaned_data!I59</f>
        <v>76</v>
      </c>
      <c r="F64" s="1" t="n">
        <f aca="false">cleaned_data!G59</f>
        <v>0.039</v>
      </c>
      <c r="G64" s="1" t="n">
        <f aca="false">cleaned_data!K59</f>
        <v>0</v>
      </c>
      <c r="H64" s="1" t="n">
        <f aca="false">dummy_variables!E62</f>
        <v>0</v>
      </c>
      <c r="I64" s="1" t="n">
        <f aca="false">dummy_variables!F62</f>
        <v>0</v>
      </c>
      <c r="J64" s="1" t="n">
        <f aca="false">dummy_variables!G62</f>
        <v>1</v>
      </c>
      <c r="K64" s="1" t="n">
        <f aca="false">dummy_variables!H62</f>
        <v>0</v>
      </c>
      <c r="L64" s="1" t="n">
        <f aca="false">dummy_variables!I62</f>
        <v>0</v>
      </c>
      <c r="M64" s="1" t="n">
        <f aca="false">dummy_variables!J62</f>
        <v>0</v>
      </c>
    </row>
    <row r="65" customFormat="false" ht="15" hidden="false" customHeight="true" outlineLevel="0" collapsed="false">
      <c r="A65" s="1" t="n">
        <v>59</v>
      </c>
      <c r="B65" s="1" t="n">
        <f aca="false">cleaned_data!F60</f>
        <v>4022</v>
      </c>
      <c r="C65" s="1" t="n">
        <f aca="false">cleaned_data!E60</f>
        <v>118910.48</v>
      </c>
      <c r="D65" s="1" t="n">
        <f aca="false">cleaned_data!H60</f>
        <v>11</v>
      </c>
      <c r="E65" s="1" t="n">
        <f aca="false">cleaned_data!I60</f>
        <v>87.1</v>
      </c>
      <c r="F65" s="1" t="n">
        <f aca="false">cleaned_data!G60</f>
        <v>0.137</v>
      </c>
      <c r="G65" s="1" t="n">
        <f aca="false">cleaned_data!K60</f>
        <v>0</v>
      </c>
      <c r="H65" s="1" t="n">
        <f aca="false">dummy_variables!E63</f>
        <v>0</v>
      </c>
      <c r="I65" s="1" t="n">
        <f aca="false">dummy_variables!F63</f>
        <v>0</v>
      </c>
      <c r="J65" s="1" t="n">
        <f aca="false">dummy_variables!G63</f>
        <v>1</v>
      </c>
      <c r="K65" s="1" t="n">
        <f aca="false">dummy_variables!H63</f>
        <v>0</v>
      </c>
      <c r="L65" s="1" t="n">
        <f aca="false">dummy_variables!I63</f>
        <v>0</v>
      </c>
      <c r="M65" s="1" t="n">
        <f aca="false">dummy_variables!J63</f>
        <v>0</v>
      </c>
    </row>
    <row r="66" customFormat="false" ht="15" hidden="false" customHeight="true" outlineLevel="0" collapsed="false">
      <c r="A66" s="1" t="n">
        <v>60</v>
      </c>
      <c r="B66" s="1" t="n">
        <f aca="false">cleaned_data!F61</f>
        <v>4377</v>
      </c>
      <c r="C66" s="1" t="n">
        <f aca="false">cleaned_data!E61</f>
        <v>52952.12</v>
      </c>
      <c r="D66" s="1" t="n">
        <f aca="false">cleaned_data!H61</f>
        <v>14</v>
      </c>
      <c r="E66" s="1" t="n">
        <f aca="false">cleaned_data!I61</f>
        <v>88.6</v>
      </c>
      <c r="F66" s="1" t="n">
        <f aca="false">cleaned_data!G61</f>
        <v>0.092</v>
      </c>
      <c r="G66" s="1" t="n">
        <f aca="false">cleaned_data!K61</f>
        <v>0</v>
      </c>
      <c r="H66" s="1" t="n">
        <f aca="false">dummy_variables!E64</f>
        <v>0</v>
      </c>
      <c r="I66" s="1" t="n">
        <f aca="false">dummy_variables!F64</f>
        <v>0</v>
      </c>
      <c r="J66" s="1" t="n">
        <f aca="false">dummy_variables!G64</f>
        <v>1</v>
      </c>
      <c r="K66" s="1" t="n">
        <f aca="false">dummy_variables!H64</f>
        <v>0</v>
      </c>
      <c r="L66" s="1" t="n">
        <f aca="false">dummy_variables!I64</f>
        <v>0</v>
      </c>
      <c r="M66" s="1" t="n">
        <f aca="false">dummy_variables!J64</f>
        <v>0</v>
      </c>
    </row>
    <row r="67" customFormat="false" ht="15" hidden="false" customHeight="true" outlineLevel="0" collapsed="false">
      <c r="A67" s="1" t="n">
        <v>61</v>
      </c>
      <c r="B67" s="1" t="n">
        <f aca="false">cleaned_data!F62</f>
        <v>5306</v>
      </c>
      <c r="C67" s="1" t="n">
        <f aca="false">cleaned_data!E62</f>
        <v>74907.98</v>
      </c>
      <c r="D67" s="1" t="n">
        <f aca="false">cleaned_data!H62</f>
        <v>16</v>
      </c>
      <c r="E67" s="1" t="n">
        <f aca="false">cleaned_data!I62</f>
        <v>95.6</v>
      </c>
      <c r="F67" s="1" t="n">
        <f aca="false">cleaned_data!G62</f>
        <v>0.062</v>
      </c>
      <c r="G67" s="1" t="n">
        <f aca="false">cleaned_data!K62</f>
        <v>0</v>
      </c>
      <c r="H67" s="1" t="n">
        <f aca="false">dummy_variables!E65</f>
        <v>0</v>
      </c>
      <c r="I67" s="1" t="n">
        <f aca="false">dummy_variables!F65</f>
        <v>0</v>
      </c>
      <c r="J67" s="1" t="n">
        <f aca="false">dummy_variables!G65</f>
        <v>0</v>
      </c>
      <c r="K67" s="1" t="n">
        <f aca="false">dummy_variables!H65</f>
        <v>0</v>
      </c>
      <c r="L67" s="1" t="n">
        <f aca="false">dummy_variables!I65</f>
        <v>1</v>
      </c>
      <c r="M67" s="1" t="n">
        <f aca="false">dummy_variables!J65</f>
        <v>0</v>
      </c>
    </row>
    <row r="68" customFormat="false" ht="15" hidden="false" customHeight="true" outlineLevel="0" collapsed="false">
      <c r="A68" s="1" t="n">
        <v>62</v>
      </c>
      <c r="B68" s="1" t="n">
        <f aca="false">cleaned_data!F63</f>
        <v>3928</v>
      </c>
      <c r="C68" s="1" t="n">
        <f aca="false">cleaned_data!E63</f>
        <v>37284.66</v>
      </c>
      <c r="D68" s="1" t="n">
        <f aca="false">cleaned_data!H63</f>
        <v>12</v>
      </c>
      <c r="E68" s="1" t="n">
        <f aca="false">cleaned_data!I63</f>
        <v>86.5</v>
      </c>
      <c r="F68" s="1" t="n">
        <f aca="false">cleaned_data!G63</f>
        <v>0.074</v>
      </c>
      <c r="G68" s="1" t="n">
        <f aca="false">cleaned_data!K63</f>
        <v>0</v>
      </c>
      <c r="H68" s="1" t="n">
        <f aca="false">dummy_variables!E66</f>
        <v>0</v>
      </c>
      <c r="I68" s="1" t="n">
        <f aca="false">dummy_variables!F66</f>
        <v>0</v>
      </c>
      <c r="J68" s="1" t="n">
        <f aca="false">dummy_variables!G66</f>
        <v>0</v>
      </c>
      <c r="K68" s="1" t="n">
        <f aca="false">dummy_variables!H66</f>
        <v>0</v>
      </c>
      <c r="L68" s="1" t="n">
        <f aca="false">dummy_variables!I66</f>
        <v>1</v>
      </c>
      <c r="M68" s="1" t="n">
        <f aca="false">dummy_variables!J66</f>
        <v>0</v>
      </c>
    </row>
    <row r="69" customFormat="false" ht="15" hidden="false" customHeight="true" outlineLevel="0" collapsed="false">
      <c r="A69" s="1" t="n">
        <v>63</v>
      </c>
      <c r="B69" s="1" t="n">
        <f aca="false">cleaned_data!F64</f>
        <v>3845</v>
      </c>
      <c r="C69" s="1" t="n">
        <f aca="false">cleaned_data!E64</f>
        <v>50343.19</v>
      </c>
      <c r="D69" s="1" t="n">
        <f aca="false">cleaned_data!H64</f>
        <v>9</v>
      </c>
      <c r="E69" s="1" t="n">
        <f aca="false">cleaned_data!I64</f>
        <v>88.7</v>
      </c>
      <c r="F69" s="1" t="n">
        <f aca="false">cleaned_data!G64</f>
        <v>0.113</v>
      </c>
      <c r="G69" s="1" t="n">
        <f aca="false">cleaned_data!K64</f>
        <v>0</v>
      </c>
      <c r="H69" s="1" t="n">
        <f aca="false">dummy_variables!E67</f>
        <v>0</v>
      </c>
      <c r="I69" s="1" t="n">
        <f aca="false">dummy_variables!F67</f>
        <v>0</v>
      </c>
      <c r="J69" s="1" t="n">
        <f aca="false">dummy_variables!G67</f>
        <v>0</v>
      </c>
      <c r="K69" s="1" t="n">
        <f aca="false">dummy_variables!H67</f>
        <v>0</v>
      </c>
      <c r="L69" s="1" t="n">
        <f aca="false">dummy_variables!I67</f>
        <v>1</v>
      </c>
      <c r="M69" s="1" t="n">
        <f aca="false">dummy_variables!J67</f>
        <v>0</v>
      </c>
    </row>
    <row r="70" customFormat="false" ht="15" hidden="false" customHeight="true" outlineLevel="0" collapsed="false">
      <c r="A70" s="1" t="n">
        <v>64</v>
      </c>
      <c r="B70" s="1" t="n">
        <f aca="false">cleaned_data!F65</f>
        <v>6620</v>
      </c>
      <c r="C70" s="1" t="n">
        <f aca="false">cleaned_data!E65</f>
        <v>74954.47</v>
      </c>
      <c r="D70" s="1" t="n">
        <f aca="false">cleaned_data!H65</f>
        <v>17</v>
      </c>
      <c r="E70" s="1" t="n">
        <f aca="false">cleaned_data!I65</f>
        <v>91.1</v>
      </c>
      <c r="F70" s="1" t="n">
        <f aca="false">cleaned_data!G65</f>
        <v>0.054</v>
      </c>
      <c r="G70" s="1" t="n">
        <f aca="false">cleaned_data!K65</f>
        <v>0</v>
      </c>
      <c r="H70" s="1" t="n">
        <f aca="false">dummy_variables!E68</f>
        <v>0</v>
      </c>
      <c r="I70" s="1" t="n">
        <f aca="false">dummy_variables!F68</f>
        <v>0</v>
      </c>
      <c r="J70" s="1" t="n">
        <f aca="false">dummy_variables!G68</f>
        <v>0</v>
      </c>
      <c r="K70" s="1" t="n">
        <f aca="false">dummy_variables!H68</f>
        <v>0</v>
      </c>
      <c r="L70" s="1" t="n">
        <f aca="false">dummy_variables!I68</f>
        <v>1</v>
      </c>
      <c r="M70" s="1" t="n">
        <f aca="false">dummy_variables!J68</f>
        <v>0</v>
      </c>
    </row>
    <row r="71" customFormat="false" ht="15" hidden="false" customHeight="true" outlineLevel="0" collapsed="false">
      <c r="A71" s="1" t="n">
        <v>65</v>
      </c>
      <c r="B71" s="1" t="n">
        <f aca="false">cleaned_data!F66</f>
        <v>9175</v>
      </c>
      <c r="C71" s="1" t="n">
        <f aca="false">cleaned_data!E66</f>
        <v>70040.31</v>
      </c>
      <c r="D71" s="1" t="n">
        <f aca="false">cleaned_data!H66</f>
        <v>23</v>
      </c>
      <c r="E71" s="1" t="n">
        <f aca="false">cleaned_data!I66</f>
        <v>95.1</v>
      </c>
      <c r="F71" s="1" t="n">
        <f aca="false">cleaned_data!G66</f>
        <v>0.107</v>
      </c>
      <c r="G71" s="1" t="n">
        <f aca="false">cleaned_data!K66</f>
        <v>1</v>
      </c>
      <c r="H71" s="1" t="n">
        <f aca="false">dummy_variables!E69</f>
        <v>0</v>
      </c>
      <c r="I71" s="1" t="n">
        <f aca="false">dummy_variables!F69</f>
        <v>0</v>
      </c>
      <c r="J71" s="1" t="n">
        <f aca="false">dummy_variables!G69</f>
        <v>0</v>
      </c>
      <c r="K71" s="1" t="n">
        <f aca="false">dummy_variables!H69</f>
        <v>0</v>
      </c>
      <c r="L71" s="1" t="n">
        <f aca="false">dummy_variables!I69</f>
        <v>0</v>
      </c>
      <c r="M71" s="1" t="n">
        <f aca="false">dummy_variables!J69</f>
        <v>1</v>
      </c>
    </row>
    <row r="72" customFormat="false" ht="15" hidden="false" customHeight="true" outlineLevel="0" collapsed="false">
      <c r="A72" s="1" t="n">
        <v>66</v>
      </c>
      <c r="B72" s="1" t="n">
        <f aca="false">cleaned_data!F67</f>
        <v>7940</v>
      </c>
      <c r="C72" s="1" t="n">
        <f aca="false">cleaned_data!E67</f>
        <v>51148.69</v>
      </c>
      <c r="D72" s="1" t="n">
        <f aca="false">cleaned_data!H67</f>
        <v>18</v>
      </c>
      <c r="E72" s="1" t="n">
        <f aca="false">cleaned_data!I67</f>
        <v>93.3</v>
      </c>
      <c r="F72" s="1" t="n">
        <f aca="false">cleaned_data!G67</f>
        <v>0.156</v>
      </c>
      <c r="G72" s="1" t="n">
        <f aca="false">cleaned_data!K67</f>
        <v>0</v>
      </c>
      <c r="H72" s="1" t="n">
        <f aca="false">dummy_variables!E70</f>
        <v>0</v>
      </c>
      <c r="I72" s="1" t="n">
        <f aca="false">dummy_variables!F70</f>
        <v>0</v>
      </c>
      <c r="J72" s="1" t="n">
        <f aca="false">dummy_variables!G70</f>
        <v>0</v>
      </c>
      <c r="K72" s="1" t="n">
        <f aca="false">dummy_variables!H70</f>
        <v>0</v>
      </c>
      <c r="L72" s="1" t="n">
        <f aca="false">dummy_variables!I70</f>
        <v>0</v>
      </c>
      <c r="M72" s="1" t="n">
        <f aca="false">dummy_variables!J70</f>
        <v>1</v>
      </c>
    </row>
    <row r="73" customFormat="false" ht="15" hidden="false" customHeight="true" outlineLevel="0" collapsed="false">
      <c r="A73" s="1" t="n">
        <v>67</v>
      </c>
      <c r="B73" s="1" t="n">
        <f aca="false">cleaned_data!F68</f>
        <v>9628</v>
      </c>
      <c r="C73" s="1" t="n">
        <f aca="false">cleaned_data!E68</f>
        <v>79346.1</v>
      </c>
      <c r="D73" s="1" t="n">
        <f aca="false">cleaned_data!H68</f>
        <v>20</v>
      </c>
      <c r="E73" s="1" t="n">
        <f aca="false">cleaned_data!I68</f>
        <v>99</v>
      </c>
      <c r="F73" s="1" t="n">
        <f aca="false">cleaned_data!G68</f>
        <v>0.102</v>
      </c>
      <c r="G73" s="1" t="n">
        <f aca="false">cleaned_data!K68</f>
        <v>1</v>
      </c>
      <c r="H73" s="1" t="n">
        <f aca="false">dummy_variables!E71</f>
        <v>0</v>
      </c>
      <c r="I73" s="1" t="n">
        <f aca="false">dummy_variables!F71</f>
        <v>0</v>
      </c>
      <c r="J73" s="1" t="n">
        <f aca="false">dummy_variables!G71</f>
        <v>0</v>
      </c>
      <c r="K73" s="1" t="n">
        <f aca="false">dummy_variables!H71</f>
        <v>0</v>
      </c>
      <c r="L73" s="1" t="n">
        <f aca="false">dummy_variables!I71</f>
        <v>0</v>
      </c>
      <c r="M73" s="1" t="n">
        <f aca="false">dummy_variables!J71</f>
        <v>1</v>
      </c>
    </row>
    <row r="74" customFormat="false" ht="15" hidden="false" customHeight="true" outlineLevel="0" collapsed="false">
      <c r="A74" s="1" t="n">
        <v>68</v>
      </c>
      <c r="B74" s="1" t="n">
        <f aca="false">cleaned_data!F69</f>
        <v>8296</v>
      </c>
      <c r="C74" s="1" t="n">
        <f aca="false">cleaned_data!E69</f>
        <v>42018.4</v>
      </c>
      <c r="D74" s="1" t="n">
        <f aca="false">cleaned_data!H69</f>
        <v>17</v>
      </c>
      <c r="E74" s="1" t="n">
        <f aca="false">cleaned_data!I69</f>
        <v>91.8</v>
      </c>
      <c r="F74" s="1" t="n">
        <f aca="false">cleaned_data!G69</f>
        <v>0.115</v>
      </c>
      <c r="G74" s="1" t="n">
        <f aca="false">cleaned_data!K69</f>
        <v>0</v>
      </c>
      <c r="H74" s="1" t="n">
        <f aca="false">dummy_variables!E72</f>
        <v>0</v>
      </c>
      <c r="I74" s="1" t="n">
        <f aca="false">dummy_variables!F72</f>
        <v>0</v>
      </c>
      <c r="J74" s="1" t="n">
        <f aca="false">dummy_variables!G72</f>
        <v>0</v>
      </c>
      <c r="K74" s="1" t="n">
        <f aca="false">dummy_variables!H72</f>
        <v>0</v>
      </c>
      <c r="L74" s="1" t="n">
        <f aca="false">dummy_variables!I72</f>
        <v>0</v>
      </c>
      <c r="M74" s="1" t="n">
        <f aca="false">dummy_variables!J72</f>
        <v>1</v>
      </c>
    </row>
    <row r="75" customFormat="false" ht="15" hidden="false" customHeight="true" outlineLevel="0" collapsed="false">
      <c r="A75" s="1" t="n">
        <v>69</v>
      </c>
      <c r="B75" s="1" t="n">
        <f aca="false">cleaned_data!F70</f>
        <v>3595</v>
      </c>
      <c r="C75" s="1" t="n">
        <f aca="false">cleaned_data!E70</f>
        <v>70937.24</v>
      </c>
      <c r="D75" s="1" t="n">
        <f aca="false">cleaned_data!H70</f>
        <v>11</v>
      </c>
      <c r="E75" s="1" t="n">
        <f aca="false">cleaned_data!I70</f>
        <v>88.9</v>
      </c>
      <c r="F75" s="1" t="n">
        <f aca="false">cleaned_data!G70</f>
        <v>0.141</v>
      </c>
      <c r="G75" s="1" t="n">
        <f aca="false">cleaned_data!K70</f>
        <v>1</v>
      </c>
      <c r="H75" s="1" t="n">
        <f aca="false">dummy_variables!E73</f>
        <v>0</v>
      </c>
      <c r="I75" s="1" t="n">
        <f aca="false">dummy_variables!F73</f>
        <v>0</v>
      </c>
      <c r="J75" s="1" t="n">
        <f aca="false">dummy_variables!G73</f>
        <v>0</v>
      </c>
      <c r="K75" s="1" t="n">
        <f aca="false">dummy_variables!H73</f>
        <v>0</v>
      </c>
      <c r="L75" s="1" t="n">
        <f aca="false">dummy_variables!I73</f>
        <v>0</v>
      </c>
      <c r="M75" s="1" t="n">
        <f aca="false">dummy_variables!J73</f>
        <v>0</v>
      </c>
    </row>
    <row r="76" customFormat="false" ht="15" hidden="false" customHeight="true" outlineLevel="0" collapsed="false">
      <c r="A76" s="1" t="n">
        <v>70</v>
      </c>
      <c r="B76" s="1" t="n">
        <f aca="false">cleaned_data!F71</f>
        <v>2834</v>
      </c>
      <c r="C76" s="1" t="n">
        <f aca="false">cleaned_data!E71</f>
        <v>36813.45</v>
      </c>
      <c r="D76" s="1" t="n">
        <f aca="false">cleaned_data!H71</f>
        <v>11</v>
      </c>
      <c r="E76" s="1" t="n">
        <f aca="false">cleaned_data!I71</f>
        <v>81.8</v>
      </c>
      <c r="F76" s="1" t="n">
        <f aca="false">cleaned_data!G71</f>
        <v>0.191</v>
      </c>
      <c r="G76" s="1" t="n">
        <f aca="false">cleaned_data!K71</f>
        <v>0</v>
      </c>
      <c r="H76" s="1" t="n">
        <f aca="false">dummy_variables!E74</f>
        <v>0</v>
      </c>
      <c r="I76" s="1" t="n">
        <f aca="false">dummy_variables!F74</f>
        <v>0</v>
      </c>
      <c r="J76" s="1" t="n">
        <f aca="false">dummy_variables!G74</f>
        <v>0</v>
      </c>
      <c r="K76" s="1" t="n">
        <f aca="false">dummy_variables!H74</f>
        <v>0</v>
      </c>
      <c r="L76" s="1" t="n">
        <f aca="false">dummy_variables!I74</f>
        <v>0</v>
      </c>
      <c r="M76" s="1" t="n">
        <f aca="false">dummy_variables!J74</f>
        <v>0</v>
      </c>
    </row>
    <row r="77" customFormat="false" ht="15" hidden="false" customHeight="true" outlineLevel="0" collapsed="false">
      <c r="A77" s="1" t="n">
        <v>71</v>
      </c>
      <c r="B77" s="1" t="n">
        <f aca="false">cleaned_data!F72</f>
        <v>3193</v>
      </c>
      <c r="C77" s="1" t="n">
        <f aca="false">cleaned_data!E72</f>
        <v>60571.82</v>
      </c>
      <c r="D77" s="1" t="n">
        <f aca="false">cleaned_data!H72</f>
        <v>7</v>
      </c>
      <c r="E77" s="1" t="n">
        <f aca="false">cleaned_data!I72</f>
        <v>99</v>
      </c>
      <c r="F77" s="1" t="n">
        <f aca="false">cleaned_data!G72</f>
        <v>0.197</v>
      </c>
      <c r="G77" s="1" t="n">
        <f aca="false">cleaned_data!K72</f>
        <v>0</v>
      </c>
      <c r="H77" s="1" t="n">
        <f aca="false">dummy_variables!E75</f>
        <v>0</v>
      </c>
      <c r="I77" s="1" t="n">
        <f aca="false">dummy_variables!F75</f>
        <v>0</v>
      </c>
      <c r="J77" s="1" t="n">
        <f aca="false">dummy_variables!G75</f>
        <v>0</v>
      </c>
      <c r="K77" s="1" t="n">
        <f aca="false">dummy_variables!H75</f>
        <v>0</v>
      </c>
      <c r="L77" s="1" t="n">
        <f aca="false">dummy_variables!I75</f>
        <v>0</v>
      </c>
      <c r="M77" s="1" t="n">
        <f aca="false">dummy_variables!J75</f>
        <v>0</v>
      </c>
    </row>
    <row r="78" customFormat="false" ht="15" hidden="false" customHeight="true" outlineLevel="0" collapsed="false">
      <c r="A78" s="1" t="n">
        <v>72</v>
      </c>
      <c r="B78" s="1" t="n">
        <f aca="false">cleaned_data!F73</f>
        <v>5485</v>
      </c>
      <c r="C78" s="1" t="n">
        <f aca="false">cleaned_data!E73</f>
        <v>55081.16</v>
      </c>
      <c r="D78" s="1" t="n">
        <f aca="false">cleaned_data!H73</f>
        <v>12</v>
      </c>
      <c r="E78" s="1" t="n">
        <f aca="false">cleaned_data!I73</f>
        <v>88</v>
      </c>
      <c r="F78" s="1" t="n">
        <f aca="false">cleaned_data!G73</f>
        <v>0.036</v>
      </c>
      <c r="G78" s="1" t="n">
        <f aca="false">cleaned_data!K73</f>
        <v>0</v>
      </c>
      <c r="H78" s="1" t="n">
        <f aca="false">dummy_variables!E76</f>
        <v>0</v>
      </c>
      <c r="I78" s="1" t="n">
        <f aca="false">dummy_variables!F76</f>
        <v>0</v>
      </c>
      <c r="J78" s="1" t="n">
        <f aca="false">dummy_variables!G76</f>
        <v>0</v>
      </c>
      <c r="K78" s="1" t="n">
        <f aca="false">dummy_variables!H76</f>
        <v>0</v>
      </c>
      <c r="L78" s="1" t="n">
        <f aca="false">dummy_variables!I76</f>
        <v>0</v>
      </c>
      <c r="M78" s="1" t="n">
        <f aca="false">dummy_variables!J76</f>
        <v>0</v>
      </c>
    </row>
    <row r="79" customFormat="false" ht="15" hidden="false" customHeight="true" outlineLevel="0" collapsed="false">
      <c r="A79" s="1" t="n">
        <v>73</v>
      </c>
      <c r="B79" s="1" t="n">
        <f aca="false">cleaned_data!F74</f>
        <v>5918</v>
      </c>
      <c r="C79" s="1" t="n">
        <f aca="false">cleaned_data!E74</f>
        <v>46201.46</v>
      </c>
      <c r="D79" s="1" t="n">
        <f aca="false">cleaned_data!H74</f>
        <v>13</v>
      </c>
      <c r="E79" s="1" t="n">
        <f aca="false">cleaned_data!I74</f>
        <v>78.8</v>
      </c>
      <c r="F79" s="1" t="n">
        <f aca="false">cleaned_data!G74</f>
        <v>0.277</v>
      </c>
      <c r="G79" s="1" t="n">
        <f aca="false">cleaned_data!K74</f>
        <v>0</v>
      </c>
      <c r="H79" s="1" t="n">
        <f aca="false">dummy_variables!E77</f>
        <v>0</v>
      </c>
      <c r="I79" s="1" t="n">
        <f aca="false">dummy_variables!F77</f>
        <v>1</v>
      </c>
      <c r="J79" s="1" t="n">
        <f aca="false">dummy_variables!G77</f>
        <v>0</v>
      </c>
      <c r="K79" s="1" t="n">
        <f aca="false">dummy_variables!H77</f>
        <v>0</v>
      </c>
      <c r="L79" s="1" t="n">
        <f aca="false">dummy_variables!I77</f>
        <v>0</v>
      </c>
      <c r="M79" s="1" t="n">
        <f aca="false">dummy_variables!J77</f>
        <v>0</v>
      </c>
    </row>
    <row r="80" customFormat="false" ht="15" hidden="false" customHeight="true" outlineLevel="0" collapsed="false">
      <c r="A80" s="1" t="n">
        <v>74</v>
      </c>
      <c r="B80" s="1" t="n">
        <f aca="false">cleaned_data!F75</f>
        <v>6821</v>
      </c>
      <c r="C80" s="1" t="n">
        <f aca="false">cleaned_data!E75</f>
        <v>53762.92</v>
      </c>
      <c r="D80" s="1" t="n">
        <f aca="false">cleaned_data!H75</f>
        <v>19</v>
      </c>
      <c r="E80" s="1" t="n">
        <f aca="false">cleaned_data!I75</f>
        <v>94.6</v>
      </c>
      <c r="F80" s="1" t="n">
        <f aca="false">cleaned_data!G75</f>
        <v>0.066</v>
      </c>
      <c r="G80" s="1" t="n">
        <f aca="false">cleaned_data!K75</f>
        <v>0</v>
      </c>
      <c r="H80" s="1" t="n">
        <f aca="false">dummy_variables!E78</f>
        <v>0</v>
      </c>
      <c r="I80" s="1" t="n">
        <f aca="false">dummy_variables!F78</f>
        <v>1</v>
      </c>
      <c r="J80" s="1" t="n">
        <f aca="false">dummy_variables!G78</f>
        <v>0</v>
      </c>
      <c r="K80" s="1" t="n">
        <f aca="false">dummy_variables!H78</f>
        <v>0</v>
      </c>
      <c r="L80" s="1" t="n">
        <f aca="false">dummy_variables!I78</f>
        <v>0</v>
      </c>
      <c r="M80" s="1" t="n">
        <f aca="false">dummy_variables!J78</f>
        <v>0</v>
      </c>
    </row>
    <row r="81" customFormat="false" ht="15" hidden="false" customHeight="true" outlineLevel="0" collapsed="false">
      <c r="A81" s="1" t="n">
        <v>75</v>
      </c>
      <c r="B81" s="1" t="n">
        <f aca="false">cleaned_data!F76</f>
        <v>6806</v>
      </c>
      <c r="C81" s="1" t="n">
        <f aca="false">cleaned_data!E76</f>
        <v>70144.78</v>
      </c>
      <c r="D81" s="1" t="n">
        <f aca="false">cleaned_data!H76</f>
        <v>20</v>
      </c>
      <c r="E81" s="1" t="n">
        <f aca="false">cleaned_data!I76</f>
        <v>93.1</v>
      </c>
      <c r="F81" s="1" t="n">
        <f aca="false">cleaned_data!G76</f>
        <v>0.178</v>
      </c>
      <c r="G81" s="1" t="n">
        <f aca="false">cleaned_data!K76</f>
        <v>1</v>
      </c>
      <c r="H81" s="1" t="n">
        <f aca="false">dummy_variables!E79</f>
        <v>0</v>
      </c>
      <c r="I81" s="1" t="n">
        <f aca="false">dummy_variables!F79</f>
        <v>1</v>
      </c>
      <c r="J81" s="1" t="n">
        <f aca="false">dummy_variables!G79</f>
        <v>0</v>
      </c>
      <c r="K81" s="1" t="n">
        <f aca="false">dummy_variables!H79</f>
        <v>0</v>
      </c>
      <c r="L81" s="1" t="n">
        <f aca="false">dummy_variables!I79</f>
        <v>0</v>
      </c>
      <c r="M81" s="1" t="n">
        <f aca="false">dummy_variables!J79</f>
        <v>0</v>
      </c>
    </row>
    <row r="82" customFormat="false" ht="15" hidden="false" customHeight="true" outlineLevel="0" collapsed="false">
      <c r="A82" s="1" t="n">
        <v>76</v>
      </c>
      <c r="B82" s="1" t="n">
        <f aca="false">cleaned_data!F77</f>
        <v>8252</v>
      </c>
      <c r="C82" s="1" t="n">
        <f aca="false">cleaned_data!E77</f>
        <v>58749.63</v>
      </c>
      <c r="D82" s="1" t="n">
        <f aca="false">cleaned_data!H77</f>
        <v>20</v>
      </c>
      <c r="E82" s="1" t="n">
        <f aca="false">cleaned_data!I77</f>
        <v>85.2</v>
      </c>
      <c r="F82" s="1" t="n">
        <f aca="false">cleaned_data!G77</f>
        <v>0.203</v>
      </c>
      <c r="G82" s="1" t="n">
        <f aca="false">cleaned_data!K77</f>
        <v>0</v>
      </c>
      <c r="H82" s="1" t="n">
        <f aca="false">dummy_variables!E80</f>
        <v>0</v>
      </c>
      <c r="I82" s="1" t="n">
        <f aca="false">dummy_variables!F80</f>
        <v>1</v>
      </c>
      <c r="J82" s="1" t="n">
        <f aca="false">dummy_variables!G80</f>
        <v>0</v>
      </c>
      <c r="K82" s="1" t="n">
        <f aca="false">dummy_variables!H80</f>
        <v>0</v>
      </c>
      <c r="L82" s="1" t="n">
        <f aca="false">dummy_variables!I80</f>
        <v>0</v>
      </c>
      <c r="M82" s="1" t="n">
        <f aca="false">dummy_variables!J80</f>
        <v>0</v>
      </c>
    </row>
    <row r="83" customFormat="false" ht="15" hidden="false" customHeight="true" outlineLevel="0" collapsed="false">
      <c r="A83" s="1" t="n">
        <v>77</v>
      </c>
      <c r="B83" s="1" t="n">
        <f aca="false">cleaned_data!F78</f>
        <v>6662</v>
      </c>
      <c r="C83" s="1" t="n">
        <f aca="false">cleaned_data!E78</f>
        <v>56973.18</v>
      </c>
      <c r="D83" s="1" t="n">
        <f aca="false">cleaned_data!H78</f>
        <v>15</v>
      </c>
      <c r="E83" s="1" t="n">
        <f aca="false">cleaned_data!I78</f>
        <v>77.7</v>
      </c>
      <c r="F83" s="1" t="n">
        <f aca="false">cleaned_data!G78</f>
        <v>0.1</v>
      </c>
      <c r="G83" s="1" t="n">
        <f aca="false">cleaned_data!K78</f>
        <v>1</v>
      </c>
      <c r="H83" s="1" t="n">
        <f aca="false">dummy_variables!E81</f>
        <v>0</v>
      </c>
      <c r="I83" s="1" t="n">
        <f aca="false">dummy_variables!F81</f>
        <v>0</v>
      </c>
      <c r="J83" s="1" t="n">
        <f aca="false">dummy_variables!G81</f>
        <v>0</v>
      </c>
      <c r="K83" s="1" t="n">
        <f aca="false">dummy_variables!H81</f>
        <v>0</v>
      </c>
      <c r="L83" s="1" t="n">
        <f aca="false">dummy_variables!I81</f>
        <v>1</v>
      </c>
      <c r="M83" s="1" t="n">
        <f aca="false">dummy_variables!J81</f>
        <v>0</v>
      </c>
    </row>
    <row r="84" customFormat="false" ht="15" hidden="false" customHeight="true" outlineLevel="0" collapsed="false">
      <c r="A84" s="1" t="n">
        <v>78</v>
      </c>
      <c r="B84" s="1" t="n">
        <f aca="false">cleaned_data!F79</f>
        <v>5962</v>
      </c>
      <c r="C84" s="1" t="n">
        <f aca="false">cleaned_data!E79</f>
        <v>54872.82</v>
      </c>
      <c r="D84" s="1" t="n">
        <f aca="false">cleaned_data!H79</f>
        <v>12</v>
      </c>
      <c r="E84" s="1" t="n">
        <f aca="false">cleaned_data!I79</f>
        <v>85.4</v>
      </c>
      <c r="F84" s="1" t="n">
        <f aca="false">cleaned_data!G79</f>
        <v>0.064</v>
      </c>
      <c r="G84" s="1" t="n">
        <f aca="false">cleaned_data!K79</f>
        <v>0</v>
      </c>
      <c r="H84" s="1" t="n">
        <f aca="false">dummy_variables!E82</f>
        <v>0</v>
      </c>
      <c r="I84" s="1" t="n">
        <f aca="false">dummy_variables!F82</f>
        <v>0</v>
      </c>
      <c r="J84" s="1" t="n">
        <f aca="false">dummy_variables!G82</f>
        <v>0</v>
      </c>
      <c r="K84" s="1" t="n">
        <f aca="false">dummy_variables!H82</f>
        <v>0</v>
      </c>
      <c r="L84" s="1" t="n">
        <f aca="false">dummy_variables!I82</f>
        <v>1</v>
      </c>
      <c r="M84" s="1" t="n">
        <f aca="false">dummy_variables!J82</f>
        <v>0</v>
      </c>
    </row>
    <row r="85" customFormat="false" ht="15" hidden="false" customHeight="true" outlineLevel="0" collapsed="false">
      <c r="A85" s="1" t="n">
        <v>79</v>
      </c>
      <c r="B85" s="1" t="n">
        <f aca="false">cleaned_data!F80</f>
        <v>7470</v>
      </c>
      <c r="C85" s="1" t="n">
        <f aca="false">cleaned_data!E80</f>
        <v>80562.81</v>
      </c>
      <c r="D85" s="1" t="n">
        <f aca="false">cleaned_data!H80</f>
        <v>16</v>
      </c>
      <c r="E85" s="1" t="n">
        <f aca="false">cleaned_data!I80</f>
        <v>83.5</v>
      </c>
      <c r="F85" s="1" t="n">
        <f aca="false">cleaned_data!G80</f>
        <v>0.172</v>
      </c>
      <c r="G85" s="1" t="n">
        <f aca="false">cleaned_data!K80</f>
        <v>0</v>
      </c>
      <c r="H85" s="1" t="n">
        <f aca="false">dummy_variables!E83</f>
        <v>0</v>
      </c>
      <c r="I85" s="1" t="n">
        <f aca="false">dummy_variables!F83</f>
        <v>0</v>
      </c>
      <c r="J85" s="1" t="n">
        <f aca="false">dummy_variables!G83</f>
        <v>0</v>
      </c>
      <c r="K85" s="1" t="n">
        <f aca="false">dummy_variables!H83</f>
        <v>0</v>
      </c>
      <c r="L85" s="1" t="n">
        <f aca="false">dummy_variables!I83</f>
        <v>1</v>
      </c>
      <c r="M85" s="1" t="n">
        <f aca="false">dummy_variables!J83</f>
        <v>0</v>
      </c>
    </row>
    <row r="86" customFormat="false" ht="15" hidden="false" customHeight="true" outlineLevel="0" collapsed="false">
      <c r="A86" s="1" t="n">
        <v>80</v>
      </c>
      <c r="B86" s="1" t="n">
        <f aca="false">cleaned_data!F81</f>
        <v>5974</v>
      </c>
      <c r="C86" s="1" t="n">
        <f aca="false">cleaned_data!E81</f>
        <v>77999.9</v>
      </c>
      <c r="D86" s="1" t="n">
        <f aca="false">cleaned_data!H81</f>
        <v>14</v>
      </c>
      <c r="E86" s="1" t="n">
        <f aca="false">cleaned_data!I81</f>
        <v>81.3</v>
      </c>
      <c r="F86" s="1" t="n">
        <f aca="false">cleaned_data!G81</f>
        <v>0.252</v>
      </c>
      <c r="G86" s="1" t="n">
        <f aca="false">cleaned_data!K81</f>
        <v>0</v>
      </c>
      <c r="H86" s="1" t="n">
        <f aca="false">dummy_variables!E84</f>
        <v>0</v>
      </c>
      <c r="I86" s="1" t="n">
        <f aca="false">dummy_variables!F84</f>
        <v>0</v>
      </c>
      <c r="J86" s="1" t="n">
        <f aca="false">dummy_variables!G84</f>
        <v>0</v>
      </c>
      <c r="K86" s="1" t="n">
        <f aca="false">dummy_variables!H84</f>
        <v>0</v>
      </c>
      <c r="L86" s="1" t="n">
        <f aca="false">dummy_variables!I84</f>
        <v>1</v>
      </c>
      <c r="M86" s="1" t="n">
        <f aca="false">dummy_variables!J84</f>
        <v>0</v>
      </c>
    </row>
    <row r="87" customFormat="false" ht="15" hidden="false" customHeight="true" outlineLevel="0" collapsed="false">
      <c r="A87" s="1" t="n">
        <v>81</v>
      </c>
      <c r="B87" s="1" t="n">
        <f aca="false">cleaned_data!F82</f>
        <v>5410</v>
      </c>
      <c r="C87" s="1" t="n">
        <f aca="false">cleaned_data!E82</f>
        <v>60881.01</v>
      </c>
      <c r="D87" s="1" t="n">
        <f aca="false">cleaned_data!H82</f>
        <v>15</v>
      </c>
      <c r="E87" s="1" t="n">
        <f aca="false">cleaned_data!I82</f>
        <v>83.9</v>
      </c>
      <c r="F87" s="1" t="n">
        <f aca="false">cleaned_data!G82</f>
        <v>0.179</v>
      </c>
      <c r="G87" s="1" t="n">
        <f aca="false">cleaned_data!K82</f>
        <v>0</v>
      </c>
      <c r="H87" s="1" t="n">
        <f aca="false">dummy_variables!E85</f>
        <v>1</v>
      </c>
      <c r="I87" s="1" t="n">
        <f aca="false">dummy_variables!F85</f>
        <v>0</v>
      </c>
      <c r="J87" s="1" t="n">
        <f aca="false">dummy_variables!G85</f>
        <v>0</v>
      </c>
      <c r="K87" s="1" t="n">
        <f aca="false">dummy_variables!H85</f>
        <v>0</v>
      </c>
      <c r="L87" s="1" t="n">
        <f aca="false">dummy_variables!I85</f>
        <v>0</v>
      </c>
      <c r="M87" s="1" t="n">
        <f aca="false">dummy_variables!J85</f>
        <v>1</v>
      </c>
    </row>
    <row r="88" customFormat="false" ht="15" hidden="false" customHeight="true" outlineLevel="0" collapsed="false">
      <c r="A88" s="1" t="n">
        <v>82</v>
      </c>
      <c r="B88" s="1" t="n">
        <f aca="false">cleaned_data!F83</f>
        <v>4451</v>
      </c>
      <c r="C88" s="1" t="n">
        <f aca="false">cleaned_data!E83</f>
        <v>60628.38</v>
      </c>
      <c r="D88" s="1" t="n">
        <f aca="false">cleaned_data!H83</f>
        <v>10</v>
      </c>
      <c r="E88" s="1" t="n">
        <f aca="false">cleaned_data!I83</f>
        <v>89.6</v>
      </c>
      <c r="F88" s="1" t="n">
        <f aca="false">cleaned_data!G83</f>
        <v>0.095</v>
      </c>
      <c r="G88" s="1" t="n">
        <f aca="false">cleaned_data!K83</f>
        <v>0</v>
      </c>
      <c r="H88" s="1" t="n">
        <f aca="false">dummy_variables!E86</f>
        <v>1</v>
      </c>
      <c r="I88" s="1" t="n">
        <f aca="false">dummy_variables!F86</f>
        <v>0</v>
      </c>
      <c r="J88" s="1" t="n">
        <f aca="false">dummy_variables!G86</f>
        <v>0</v>
      </c>
      <c r="K88" s="1" t="n">
        <f aca="false">dummy_variables!H86</f>
        <v>0</v>
      </c>
      <c r="L88" s="1" t="n">
        <f aca="false">dummy_variables!I86</f>
        <v>0</v>
      </c>
      <c r="M88" s="1" t="n">
        <f aca="false">dummy_variables!J86</f>
        <v>1</v>
      </c>
    </row>
    <row r="89" customFormat="false" ht="15" hidden="false" customHeight="true" outlineLevel="0" collapsed="false">
      <c r="A89" s="1" t="n">
        <v>83</v>
      </c>
      <c r="B89" s="1" t="n">
        <f aca="false">cleaned_data!F84</f>
        <v>4644</v>
      </c>
      <c r="C89" s="1" t="n">
        <f aca="false">cleaned_data!E84</f>
        <v>72731.14</v>
      </c>
      <c r="D89" s="1" t="n">
        <f aca="false">cleaned_data!H84</f>
        <v>15</v>
      </c>
      <c r="E89" s="1" t="n">
        <f aca="false">cleaned_data!I84</f>
        <v>87.1</v>
      </c>
      <c r="F89" s="1" t="n">
        <f aca="false">cleaned_data!G84</f>
        <v>0.084</v>
      </c>
      <c r="G89" s="1" t="n">
        <f aca="false">cleaned_data!K84</f>
        <v>0</v>
      </c>
      <c r="H89" s="1" t="n">
        <f aca="false">dummy_variables!E87</f>
        <v>1</v>
      </c>
      <c r="I89" s="1" t="n">
        <f aca="false">dummy_variables!F87</f>
        <v>0</v>
      </c>
      <c r="J89" s="1" t="n">
        <f aca="false">dummy_variables!G87</f>
        <v>0</v>
      </c>
      <c r="K89" s="1" t="n">
        <f aca="false">dummy_variables!H87</f>
        <v>0</v>
      </c>
      <c r="L89" s="1" t="n">
        <f aca="false">dummy_variables!I87</f>
        <v>0</v>
      </c>
      <c r="M89" s="1" t="n">
        <f aca="false">dummy_variables!J87</f>
        <v>1</v>
      </c>
    </row>
    <row r="90" customFormat="false" ht="15" hidden="false" customHeight="true" outlineLevel="0" collapsed="false">
      <c r="A90" s="1" t="n">
        <v>84</v>
      </c>
      <c r="B90" s="1" t="n">
        <f aca="false">cleaned_data!F85</f>
        <v>3559</v>
      </c>
      <c r="C90" s="1" t="n">
        <f aca="false">cleaned_data!E85</f>
        <v>36475.71</v>
      </c>
      <c r="D90" s="1" t="n">
        <f aca="false">cleaned_data!H85</f>
        <v>8</v>
      </c>
      <c r="E90" s="1" t="n">
        <f aca="false">cleaned_data!I85</f>
        <v>83.6</v>
      </c>
      <c r="F90" s="1" t="n">
        <f aca="false">cleaned_data!G85</f>
        <v>0.03</v>
      </c>
      <c r="G90" s="1" t="n">
        <f aca="false">cleaned_data!K85</f>
        <v>0</v>
      </c>
      <c r="H90" s="1" t="n">
        <f aca="false">dummy_variables!E88</f>
        <v>1</v>
      </c>
      <c r="I90" s="1" t="n">
        <f aca="false">dummy_variables!F88</f>
        <v>0</v>
      </c>
      <c r="J90" s="1" t="n">
        <f aca="false">dummy_variables!G88</f>
        <v>0</v>
      </c>
      <c r="K90" s="1" t="n">
        <f aca="false">dummy_variables!H88</f>
        <v>0</v>
      </c>
      <c r="L90" s="1" t="n">
        <f aca="false">dummy_variables!I88</f>
        <v>0</v>
      </c>
      <c r="M90" s="1" t="n">
        <f aca="false">dummy_variables!J88</f>
        <v>1</v>
      </c>
    </row>
    <row r="91" customFormat="false" ht="15" hidden="false" customHeight="true" outlineLevel="0" collapsed="false">
      <c r="A91" s="1" t="n">
        <v>85</v>
      </c>
      <c r="B91" s="1" t="n">
        <f aca="false">cleaned_data!F86</f>
        <v>3091</v>
      </c>
      <c r="C91" s="1" t="n">
        <f aca="false">cleaned_data!E86</f>
        <v>55388.11</v>
      </c>
      <c r="D91" s="1" t="n">
        <f aca="false">cleaned_data!H86</f>
        <v>7</v>
      </c>
      <c r="E91" s="1" t="n">
        <f aca="false">cleaned_data!I86</f>
        <v>85.4</v>
      </c>
      <c r="F91" s="1" t="n">
        <f aca="false">cleaned_data!G86</f>
        <v>0.108</v>
      </c>
      <c r="G91" s="1" t="n">
        <f aca="false">cleaned_data!K86</f>
        <v>0</v>
      </c>
      <c r="H91" s="1" t="n">
        <f aca="false">dummy_variables!E89</f>
        <v>0</v>
      </c>
      <c r="I91" s="1" t="n">
        <f aca="false">dummy_variables!F89</f>
        <v>0</v>
      </c>
      <c r="J91" s="1" t="n">
        <f aca="false">dummy_variables!G89</f>
        <v>0</v>
      </c>
      <c r="K91" s="1" t="n">
        <f aca="false">dummy_variables!H89</f>
        <v>0</v>
      </c>
      <c r="L91" s="1" t="n">
        <f aca="false">dummy_variables!I89</f>
        <v>0</v>
      </c>
      <c r="M91" s="1" t="n">
        <f aca="false">dummy_variables!J89</f>
        <v>1</v>
      </c>
    </row>
    <row r="92" customFormat="false" ht="15" hidden="false" customHeight="true" outlineLevel="0" collapsed="false">
      <c r="A92" s="1" t="n">
        <v>86</v>
      </c>
      <c r="B92" s="1" t="n">
        <f aca="false">cleaned_data!F87</f>
        <v>4004</v>
      </c>
      <c r="C92" s="1" t="n">
        <f aca="false">cleaned_data!E87</f>
        <v>88443.77</v>
      </c>
      <c r="D92" s="1" t="n">
        <f aca="false">cleaned_data!H87</f>
        <v>11</v>
      </c>
      <c r="E92" s="1" t="n">
        <f aca="false">cleaned_data!I87</f>
        <v>91.9</v>
      </c>
      <c r="F92" s="1" t="n">
        <f aca="false">cleaned_data!G87</f>
        <v>0.206</v>
      </c>
      <c r="G92" s="1" t="n">
        <f aca="false">cleaned_data!K87</f>
        <v>0</v>
      </c>
      <c r="H92" s="1" t="n">
        <f aca="false">dummy_variables!E90</f>
        <v>0</v>
      </c>
      <c r="I92" s="1" t="n">
        <f aca="false">dummy_variables!F90</f>
        <v>0</v>
      </c>
      <c r="J92" s="1" t="n">
        <f aca="false">dummy_variables!G90</f>
        <v>0</v>
      </c>
      <c r="K92" s="1" t="n">
        <f aca="false">dummy_variables!H90</f>
        <v>0</v>
      </c>
      <c r="L92" s="1" t="n">
        <f aca="false">dummy_variables!I90</f>
        <v>0</v>
      </c>
      <c r="M92" s="1" t="n">
        <f aca="false">dummy_variables!J90</f>
        <v>1</v>
      </c>
    </row>
    <row r="93" customFormat="false" ht="15" hidden="false" customHeight="true" outlineLevel="0" collapsed="false">
      <c r="A93" s="1" t="n">
        <v>87</v>
      </c>
      <c r="B93" s="1" t="n">
        <f aca="false">cleaned_data!F88</f>
        <v>3788</v>
      </c>
      <c r="C93" s="1" t="n">
        <f aca="false">cleaned_data!E88</f>
        <v>78231.91</v>
      </c>
      <c r="D93" s="1" t="n">
        <f aca="false">cleaned_data!H88</f>
        <v>11</v>
      </c>
      <c r="E93" s="1" t="n">
        <f aca="false">cleaned_data!I88</f>
        <v>88.5</v>
      </c>
      <c r="F93" s="1" t="n">
        <f aca="false">cleaned_data!G88</f>
        <v>0.059</v>
      </c>
      <c r="G93" s="1" t="n">
        <f aca="false">cleaned_data!K88</f>
        <v>0</v>
      </c>
      <c r="H93" s="1" t="n">
        <f aca="false">dummy_variables!E91</f>
        <v>0</v>
      </c>
      <c r="I93" s="1" t="n">
        <f aca="false">dummy_variables!F91</f>
        <v>0</v>
      </c>
      <c r="J93" s="1" t="n">
        <f aca="false">dummy_variables!G91</f>
        <v>0</v>
      </c>
      <c r="K93" s="1" t="n">
        <f aca="false">dummy_variables!H91</f>
        <v>0</v>
      </c>
      <c r="L93" s="1" t="n">
        <f aca="false">dummy_variables!I91</f>
        <v>0</v>
      </c>
      <c r="M93" s="1" t="n">
        <f aca="false">dummy_variables!J91</f>
        <v>1</v>
      </c>
    </row>
    <row r="94" customFormat="false" ht="15" hidden="false" customHeight="true" outlineLevel="0" collapsed="false">
      <c r="A94" s="1" t="n">
        <v>88</v>
      </c>
      <c r="B94" s="1" t="n">
        <f aca="false">cleaned_data!F89</f>
        <v>1260</v>
      </c>
      <c r="C94" s="1" t="n">
        <f aca="false">cleaned_data!E89</f>
        <v>18996.32</v>
      </c>
      <c r="D94" s="1" t="n">
        <f aca="false">cleaned_data!H89</f>
        <v>9</v>
      </c>
      <c r="E94" s="1" t="n">
        <f aca="false">cleaned_data!I89</f>
        <v>86.4</v>
      </c>
      <c r="F94" s="1" t="n">
        <f aca="false">cleaned_data!G89</f>
        <v>0.145</v>
      </c>
      <c r="G94" s="1" t="n">
        <f aca="false">cleaned_data!K89</f>
        <v>0</v>
      </c>
      <c r="H94" s="1" t="n">
        <f aca="false">dummy_variables!E92</f>
        <v>0</v>
      </c>
      <c r="I94" s="1" t="n">
        <f aca="false">dummy_variables!F92</f>
        <v>0</v>
      </c>
      <c r="J94" s="1" t="n">
        <f aca="false">dummy_variables!G92</f>
        <v>0</v>
      </c>
      <c r="K94" s="1" t="n">
        <f aca="false">dummy_variables!H92</f>
        <v>0</v>
      </c>
      <c r="L94" s="1" t="n">
        <f aca="false">dummy_variables!I92</f>
        <v>0</v>
      </c>
      <c r="M94" s="1" t="n">
        <f aca="false">dummy_variables!J92</f>
        <v>1</v>
      </c>
    </row>
    <row r="95" customFormat="false" ht="15" hidden="false" customHeight="true" outlineLevel="0" collapsed="false">
      <c r="A95" s="1" t="n">
        <v>89</v>
      </c>
      <c r="B95" s="1" t="n">
        <f aca="false">cleaned_data!F90</f>
        <v>7024</v>
      </c>
      <c r="C95" s="1" t="n">
        <f aca="false">cleaned_data!E90</f>
        <v>50517.94</v>
      </c>
      <c r="D95" s="1" t="n">
        <f aca="false">cleaned_data!H90</f>
        <v>18</v>
      </c>
      <c r="E95" s="1" t="n">
        <f aca="false">cleaned_data!I90</f>
        <v>79.2</v>
      </c>
      <c r="F95" s="1" t="n">
        <f aca="false">cleaned_data!G90</f>
        <v>0.029</v>
      </c>
      <c r="G95" s="1" t="n">
        <f aca="false">cleaned_data!K90</f>
        <v>1</v>
      </c>
      <c r="H95" s="1" t="n">
        <f aca="false">dummy_variables!E93</f>
        <v>1</v>
      </c>
      <c r="I95" s="1" t="n">
        <f aca="false">dummy_variables!F93</f>
        <v>0</v>
      </c>
      <c r="J95" s="1" t="n">
        <f aca="false">dummy_variables!G93</f>
        <v>0</v>
      </c>
      <c r="K95" s="1" t="n">
        <f aca="false">dummy_variables!H93</f>
        <v>0</v>
      </c>
      <c r="L95" s="1" t="n">
        <f aca="false">dummy_variables!I93</f>
        <v>1</v>
      </c>
      <c r="M95" s="1" t="n">
        <f aca="false">dummy_variables!J93</f>
        <v>0</v>
      </c>
    </row>
    <row r="96" customFormat="false" ht="15" hidden="false" customHeight="true" outlineLevel="0" collapsed="false">
      <c r="A96" s="1" t="n">
        <v>90</v>
      </c>
      <c r="B96" s="1" t="n">
        <f aca="false">cleaned_data!F91</f>
        <v>5400</v>
      </c>
      <c r="C96" s="1" t="n">
        <f aca="false">cleaned_data!E91</f>
        <v>141540.29</v>
      </c>
      <c r="D96" s="1" t="n">
        <f aca="false">cleaned_data!H91</f>
        <v>12</v>
      </c>
      <c r="E96" s="1" t="n">
        <f aca="false">cleaned_data!I91</f>
        <v>87</v>
      </c>
      <c r="F96" s="1" t="n">
        <f aca="false">cleaned_data!G91</f>
        <v>0.013</v>
      </c>
      <c r="G96" s="1" t="n">
        <f aca="false">cleaned_data!K91</f>
        <v>0</v>
      </c>
      <c r="H96" s="1" t="n">
        <f aca="false">dummy_variables!E94</f>
        <v>1</v>
      </c>
      <c r="I96" s="1" t="n">
        <f aca="false">dummy_variables!F94</f>
        <v>0</v>
      </c>
      <c r="J96" s="1" t="n">
        <f aca="false">dummy_variables!G94</f>
        <v>0</v>
      </c>
      <c r="K96" s="1" t="n">
        <f aca="false">dummy_variables!H94</f>
        <v>0</v>
      </c>
      <c r="L96" s="1" t="n">
        <f aca="false">dummy_variables!I94</f>
        <v>1</v>
      </c>
      <c r="M96" s="1" t="n">
        <f aca="false">dummy_variables!J94</f>
        <v>0</v>
      </c>
    </row>
    <row r="97" customFormat="false" ht="15" hidden="false" customHeight="true" outlineLevel="0" collapsed="false">
      <c r="A97" s="1" t="n">
        <v>91</v>
      </c>
      <c r="B97" s="1" t="n">
        <f aca="false">cleaned_data!F92</f>
        <v>5988</v>
      </c>
      <c r="C97" s="1" t="n">
        <f aca="false">cleaned_data!E92</f>
        <v>82116.19</v>
      </c>
      <c r="D97" s="1" t="n">
        <f aca="false">cleaned_data!H92</f>
        <v>17</v>
      </c>
      <c r="E97" s="1" t="n">
        <f aca="false">cleaned_data!I92</f>
        <v>91.8</v>
      </c>
      <c r="F97" s="1" t="n">
        <f aca="false">cleaned_data!G92</f>
        <v>0.04</v>
      </c>
      <c r="G97" s="1" t="n">
        <f aca="false">cleaned_data!K92</f>
        <v>0</v>
      </c>
      <c r="H97" s="1" t="n">
        <f aca="false">dummy_variables!E95</f>
        <v>1</v>
      </c>
      <c r="I97" s="1" t="n">
        <f aca="false">dummy_variables!F95</f>
        <v>0</v>
      </c>
      <c r="J97" s="1" t="n">
        <f aca="false">dummy_variables!G95</f>
        <v>0</v>
      </c>
      <c r="K97" s="1" t="n">
        <f aca="false">dummy_variables!H95</f>
        <v>0</v>
      </c>
      <c r="L97" s="1" t="n">
        <f aca="false">dummy_variables!I95</f>
        <v>1</v>
      </c>
      <c r="M97" s="1" t="n">
        <f aca="false">dummy_variables!J95</f>
        <v>0</v>
      </c>
    </row>
    <row r="98" customFormat="false" ht="15" hidden="false" customHeight="true" outlineLevel="0" collapsed="false">
      <c r="A98" s="1" t="n">
        <v>92</v>
      </c>
      <c r="B98" s="1" t="n">
        <f aca="false">cleaned_data!F93</f>
        <v>3701</v>
      </c>
      <c r="C98" s="1" t="n">
        <f aca="false">cleaned_data!E93</f>
        <v>31207.51</v>
      </c>
      <c r="D98" s="1" t="n">
        <f aca="false">cleaned_data!H93</f>
        <v>11</v>
      </c>
      <c r="E98" s="1" t="n">
        <f aca="false">cleaned_data!I93</f>
        <v>84.7</v>
      </c>
      <c r="F98" s="1" t="n">
        <f aca="false">cleaned_data!G93</f>
        <v>0.043</v>
      </c>
      <c r="G98" s="1" t="n">
        <f aca="false">cleaned_data!K93</f>
        <v>0</v>
      </c>
      <c r="H98" s="1" t="n">
        <f aca="false">dummy_variables!E96</f>
        <v>1</v>
      </c>
      <c r="I98" s="1" t="n">
        <f aca="false">dummy_variables!F96</f>
        <v>0</v>
      </c>
      <c r="J98" s="1" t="n">
        <f aca="false">dummy_variables!G96</f>
        <v>0</v>
      </c>
      <c r="K98" s="1" t="n">
        <f aca="false">dummy_variables!H96</f>
        <v>0</v>
      </c>
      <c r="L98" s="1" t="n">
        <f aca="false">dummy_variables!I96</f>
        <v>1</v>
      </c>
      <c r="M98" s="1" t="n">
        <f aca="false">dummy_variables!J96</f>
        <v>0</v>
      </c>
    </row>
    <row r="99" customFormat="false" ht="15" hidden="false" customHeight="true" outlineLevel="0" collapsed="false">
      <c r="A99" s="1" t="n">
        <v>93</v>
      </c>
      <c r="B99" s="1" t="n">
        <f aca="false">cleaned_data!F94</f>
        <v>4509</v>
      </c>
      <c r="C99" s="1" t="n">
        <f aca="false">cleaned_data!E94</f>
        <v>38966.59</v>
      </c>
      <c r="D99" s="1" t="n">
        <f aca="false">cleaned_data!H94</f>
        <v>14</v>
      </c>
      <c r="E99" s="1" t="n">
        <f aca="false">cleaned_data!I94</f>
        <v>91.1</v>
      </c>
      <c r="F99" s="1" t="n">
        <f aca="false">cleaned_data!G94</f>
        <v>0.194</v>
      </c>
      <c r="G99" s="1" t="n">
        <f aca="false">cleaned_data!K94</f>
        <v>0</v>
      </c>
      <c r="H99" s="1" t="n">
        <f aca="false">dummy_variables!E97</f>
        <v>0</v>
      </c>
      <c r="I99" s="1" t="n">
        <f aca="false">dummy_variables!F97</f>
        <v>1</v>
      </c>
      <c r="J99" s="1" t="n">
        <f aca="false">dummy_variables!G97</f>
        <v>0</v>
      </c>
      <c r="K99" s="1" t="n">
        <f aca="false">dummy_variables!H97</f>
        <v>0</v>
      </c>
      <c r="L99" s="1" t="n">
        <f aca="false">dummy_variables!I97</f>
        <v>0</v>
      </c>
      <c r="M99" s="1" t="n">
        <f aca="false">dummy_variables!J97</f>
        <v>1</v>
      </c>
    </row>
    <row r="100" customFormat="false" ht="15" hidden="false" customHeight="true" outlineLevel="0" collapsed="false">
      <c r="A100" s="1" t="n">
        <v>94</v>
      </c>
      <c r="B100" s="1" t="n">
        <f aca="false">cleaned_data!F95</f>
        <v>6477</v>
      </c>
      <c r="C100" s="1" t="n">
        <f aca="false">cleaned_data!E95</f>
        <v>67439.3</v>
      </c>
      <c r="D100" s="1" t="n">
        <f aca="false">cleaned_data!H95</f>
        <v>16</v>
      </c>
      <c r="E100" s="1" t="n">
        <f aca="false">cleaned_data!I95</f>
        <v>90.9</v>
      </c>
      <c r="F100" s="1" t="n">
        <f aca="false">cleaned_data!G95</f>
        <v>0</v>
      </c>
      <c r="G100" s="1" t="n">
        <f aca="false">cleaned_data!K95</f>
        <v>0</v>
      </c>
      <c r="H100" s="1" t="n">
        <f aca="false">dummy_variables!E98</f>
        <v>0</v>
      </c>
      <c r="I100" s="1" t="n">
        <f aca="false">dummy_variables!F98</f>
        <v>1</v>
      </c>
      <c r="J100" s="1" t="n">
        <f aca="false">dummy_variables!G98</f>
        <v>0</v>
      </c>
      <c r="K100" s="1" t="n">
        <f aca="false">dummy_variables!H98</f>
        <v>0</v>
      </c>
      <c r="L100" s="1" t="n">
        <f aca="false">dummy_variables!I98</f>
        <v>0</v>
      </c>
      <c r="M100" s="1" t="n">
        <f aca="false">dummy_variables!J98</f>
        <v>1</v>
      </c>
    </row>
    <row r="101" customFormat="false" ht="15" hidden="false" customHeight="true" outlineLevel="0" collapsed="false">
      <c r="A101" s="1" t="n">
        <v>95</v>
      </c>
      <c r="B101" s="1" t="n">
        <f aca="false">cleaned_data!F96</f>
        <v>7970</v>
      </c>
      <c r="C101" s="1" t="n">
        <f aca="false">cleaned_data!E96</f>
        <v>86421.88</v>
      </c>
      <c r="D101" s="1" t="n">
        <f aca="false">cleaned_data!H96</f>
        <v>17</v>
      </c>
      <c r="E101" s="1" t="n">
        <f aca="false">cleaned_data!I96</f>
        <v>91.3</v>
      </c>
      <c r="F101" s="1" t="n">
        <f aca="false">cleaned_data!G96</f>
        <v>0.073</v>
      </c>
      <c r="G101" s="1" t="n">
        <f aca="false">cleaned_data!K96</f>
        <v>0</v>
      </c>
      <c r="H101" s="1" t="n">
        <f aca="false">dummy_variables!E99</f>
        <v>0</v>
      </c>
      <c r="I101" s="1" t="n">
        <f aca="false">dummy_variables!F99</f>
        <v>1</v>
      </c>
      <c r="J101" s="1" t="n">
        <f aca="false">dummy_variables!G99</f>
        <v>0</v>
      </c>
      <c r="K101" s="1" t="n">
        <f aca="false">dummy_variables!H99</f>
        <v>0</v>
      </c>
      <c r="L101" s="1" t="n">
        <f aca="false">dummy_variables!I99</f>
        <v>0</v>
      </c>
      <c r="M101" s="1" t="n">
        <f aca="false">dummy_variables!J99</f>
        <v>1</v>
      </c>
    </row>
    <row r="102" customFormat="false" ht="15" hidden="false" customHeight="true" outlineLevel="0" collapsed="false">
      <c r="A102" s="1" t="n">
        <v>96</v>
      </c>
      <c r="B102" s="1" t="n">
        <f aca="false">cleaned_data!F97</f>
        <v>6057</v>
      </c>
      <c r="C102" s="1" t="n">
        <f aca="false">cleaned_data!E97</f>
        <v>9534.65</v>
      </c>
      <c r="D102" s="1" t="n">
        <f aca="false">cleaned_data!H97</f>
        <v>15</v>
      </c>
      <c r="E102" s="1" t="n">
        <f aca="false">cleaned_data!I97</f>
        <v>94.1</v>
      </c>
      <c r="F102" s="1" t="n">
        <f aca="false">cleaned_data!G97</f>
        <v>0.074</v>
      </c>
      <c r="G102" s="1" t="n">
        <f aca="false">cleaned_data!K97</f>
        <v>0</v>
      </c>
      <c r="H102" s="1" t="n">
        <f aca="false">dummy_variables!E100</f>
        <v>0</v>
      </c>
      <c r="I102" s="1" t="n">
        <f aca="false">dummy_variables!F100</f>
        <v>1</v>
      </c>
      <c r="J102" s="1" t="n">
        <f aca="false">dummy_variables!G100</f>
        <v>0</v>
      </c>
      <c r="K102" s="1" t="n">
        <f aca="false">dummy_variables!H100</f>
        <v>0</v>
      </c>
      <c r="L102" s="1" t="n">
        <f aca="false">dummy_variables!I100</f>
        <v>0</v>
      </c>
      <c r="M102" s="1" t="n">
        <f aca="false">dummy_variables!J100</f>
        <v>1</v>
      </c>
    </row>
    <row r="103" customFormat="false" ht="15" hidden="false" customHeight="true" outlineLevel="0" collapsed="false">
      <c r="A103" s="1" t="n">
        <v>97</v>
      </c>
      <c r="B103" s="1" t="n">
        <f aca="false">cleaned_data!F98</f>
        <v>6394</v>
      </c>
      <c r="C103" s="1" t="n">
        <f aca="false">cleaned_data!E98</f>
        <v>61132.07</v>
      </c>
      <c r="D103" s="1" t="n">
        <f aca="false">cleaned_data!H98</f>
        <v>19</v>
      </c>
      <c r="E103" s="1" t="n">
        <f aca="false">cleaned_data!I98</f>
        <v>91</v>
      </c>
      <c r="F103" s="1" t="n">
        <f aca="false">cleaned_data!G98</f>
        <v>0.163</v>
      </c>
      <c r="G103" s="1" t="n">
        <f aca="false">cleaned_data!K98</f>
        <v>0</v>
      </c>
      <c r="H103" s="1" t="n">
        <f aca="false">dummy_variables!E101</f>
        <v>1</v>
      </c>
      <c r="I103" s="1" t="n">
        <f aca="false">dummy_variables!F101</f>
        <v>0</v>
      </c>
      <c r="J103" s="1" t="n">
        <f aca="false">dummy_variables!G101</f>
        <v>0</v>
      </c>
      <c r="K103" s="1" t="n">
        <f aca="false">dummy_variables!H101</f>
        <v>0</v>
      </c>
      <c r="L103" s="1" t="n">
        <f aca="false">dummy_variables!I101</f>
        <v>0</v>
      </c>
      <c r="M103" s="1" t="n">
        <f aca="false">dummy_variables!J101</f>
        <v>1</v>
      </c>
    </row>
    <row r="104" customFormat="false" ht="15" hidden="false" customHeight="true" outlineLevel="0" collapsed="false">
      <c r="A104" s="1" t="n">
        <v>98</v>
      </c>
      <c r="B104" s="1" t="n">
        <f aca="false">cleaned_data!F99</f>
        <v>5150</v>
      </c>
      <c r="C104" s="1" t="n">
        <f aca="false">cleaned_data!E99</f>
        <v>78839.39</v>
      </c>
      <c r="D104" s="1" t="n">
        <f aca="false">cleaned_data!H99</f>
        <v>13</v>
      </c>
      <c r="E104" s="1" t="n">
        <f aca="false">cleaned_data!I99</f>
        <v>85.8</v>
      </c>
      <c r="F104" s="1" t="n">
        <f aca="false">cleaned_data!G99</f>
        <v>0.171</v>
      </c>
      <c r="G104" s="1" t="n">
        <f aca="false">cleaned_data!K99</f>
        <v>0</v>
      </c>
      <c r="H104" s="1" t="n">
        <f aca="false">dummy_variables!E102</f>
        <v>1</v>
      </c>
      <c r="I104" s="1" t="n">
        <f aca="false">dummy_variables!F102</f>
        <v>0</v>
      </c>
      <c r="J104" s="1" t="n">
        <f aca="false">dummy_variables!G102</f>
        <v>0</v>
      </c>
      <c r="K104" s="1" t="n">
        <f aca="false">dummy_variables!H102</f>
        <v>0</v>
      </c>
      <c r="L104" s="1" t="n">
        <f aca="false">dummy_variables!I102</f>
        <v>0</v>
      </c>
      <c r="M104" s="1" t="n">
        <f aca="false">dummy_variables!J102</f>
        <v>1</v>
      </c>
    </row>
    <row r="105" customFormat="false" ht="15" hidden="false" customHeight="true" outlineLevel="0" collapsed="false">
      <c r="A105" s="1" t="n">
        <v>99</v>
      </c>
      <c r="B105" s="1" t="n">
        <f aca="false">cleaned_data!F100</f>
        <v>4712</v>
      </c>
      <c r="C105" s="1" t="n">
        <f aca="false">cleaned_data!E100</f>
        <v>38752.8</v>
      </c>
      <c r="D105" s="1" t="n">
        <f aca="false">cleaned_data!H100</f>
        <v>15</v>
      </c>
      <c r="E105" s="1" t="n">
        <f aca="false">cleaned_data!I100</f>
        <v>89.7</v>
      </c>
      <c r="F105" s="1" t="n">
        <f aca="false">cleaned_data!G100</f>
        <v>0.075</v>
      </c>
      <c r="G105" s="1" t="n">
        <f aca="false">cleaned_data!K100</f>
        <v>0</v>
      </c>
      <c r="H105" s="1" t="n">
        <f aca="false">dummy_variables!E103</f>
        <v>1</v>
      </c>
      <c r="I105" s="1" t="n">
        <f aca="false">dummy_variables!F103</f>
        <v>0</v>
      </c>
      <c r="J105" s="1" t="n">
        <f aca="false">dummy_variables!G103</f>
        <v>0</v>
      </c>
      <c r="K105" s="1" t="n">
        <f aca="false">dummy_variables!H103</f>
        <v>0</v>
      </c>
      <c r="L105" s="1" t="n">
        <f aca="false">dummy_variables!I103</f>
        <v>0</v>
      </c>
      <c r="M105" s="1" t="n">
        <f aca="false">dummy_variables!J103</f>
        <v>1</v>
      </c>
    </row>
    <row r="106" customFormat="false" ht="15" hidden="false" customHeight="true" outlineLevel="0" collapsed="false">
      <c r="A106" s="1" t="n">
        <v>100</v>
      </c>
      <c r="B106" s="1" t="n">
        <f aca="false">cleaned_data!F101</f>
        <v>5281</v>
      </c>
      <c r="C106" s="1" t="n">
        <f aca="false">cleaned_data!E101</f>
        <v>55101.1</v>
      </c>
      <c r="D106" s="1" t="n">
        <f aca="false">cleaned_data!H101</f>
        <v>11</v>
      </c>
      <c r="E106" s="1" t="n">
        <f aca="false">cleaned_data!I101</f>
        <v>91</v>
      </c>
      <c r="F106" s="1" t="n">
        <f aca="false">cleaned_data!G101</f>
        <v>0.189</v>
      </c>
      <c r="G106" s="1" t="n">
        <f aca="false">cleaned_data!K101</f>
        <v>0</v>
      </c>
      <c r="H106" s="1" t="n">
        <f aca="false">dummy_variables!E104</f>
        <v>1</v>
      </c>
      <c r="I106" s="1" t="n">
        <f aca="false">dummy_variables!F104</f>
        <v>0</v>
      </c>
      <c r="J106" s="1" t="n">
        <f aca="false">dummy_variables!G104</f>
        <v>0</v>
      </c>
      <c r="K106" s="1" t="n">
        <f aca="false">dummy_variables!H104</f>
        <v>0</v>
      </c>
      <c r="L106" s="1" t="n">
        <f aca="false">dummy_variables!I104</f>
        <v>0</v>
      </c>
      <c r="M106" s="1" t="n">
        <f aca="false">dummy_variables!J104</f>
        <v>1</v>
      </c>
    </row>
    <row r="107" customFormat="false" ht="15" hidden="false" customHeight="true" outlineLevel="0" collapsed="false">
      <c r="A107" s="1" t="n">
        <v>101</v>
      </c>
      <c r="B107" s="1" t="n">
        <f aca="false">cleaned_data!F102</f>
        <v>3642</v>
      </c>
      <c r="C107" s="1" t="n">
        <f aca="false">cleaned_data!E102</f>
        <v>53084.76</v>
      </c>
      <c r="D107" s="1" t="n">
        <f aca="false">cleaned_data!H102</f>
        <v>12</v>
      </c>
      <c r="E107" s="1" t="n">
        <f aca="false">cleaned_data!I102</f>
        <v>91.4</v>
      </c>
      <c r="F107" s="1" t="n">
        <f aca="false">cleaned_data!G102</f>
        <v>0.15</v>
      </c>
      <c r="G107" s="1" t="n">
        <f aca="false">cleaned_data!K102</f>
        <v>0</v>
      </c>
      <c r="H107" s="1" t="n">
        <f aca="false">dummy_variables!E105</f>
        <v>1</v>
      </c>
      <c r="I107" s="1" t="n">
        <f aca="false">dummy_variables!F105</f>
        <v>0</v>
      </c>
      <c r="J107" s="1" t="n">
        <f aca="false">dummy_variables!G105</f>
        <v>0</v>
      </c>
      <c r="K107" s="1" t="n">
        <f aca="false">dummy_variables!H105</f>
        <v>0</v>
      </c>
      <c r="L107" s="1" t="n">
        <f aca="false">dummy_variables!I105</f>
        <v>0</v>
      </c>
      <c r="M107" s="1" t="n">
        <f aca="false">dummy_variables!J105</f>
        <v>0</v>
      </c>
    </row>
    <row r="108" customFormat="false" ht="15" hidden="false" customHeight="true" outlineLevel="0" collapsed="false">
      <c r="A108" s="1" t="n">
        <v>102</v>
      </c>
      <c r="B108" s="1" t="n">
        <f aca="false">cleaned_data!F103</f>
        <v>4373</v>
      </c>
      <c r="C108" s="1" t="n">
        <f aca="false">cleaned_data!E103</f>
        <v>63101.59</v>
      </c>
      <c r="D108" s="1" t="n">
        <f aca="false">cleaned_data!H103</f>
        <v>14</v>
      </c>
      <c r="E108" s="1" t="n">
        <f aca="false">cleaned_data!I103</f>
        <v>90.4</v>
      </c>
      <c r="F108" s="1" t="n">
        <f aca="false">cleaned_data!G103</f>
        <v>0.173</v>
      </c>
      <c r="G108" s="1" t="n">
        <f aca="false">cleaned_data!K103</f>
        <v>0</v>
      </c>
      <c r="H108" s="1" t="n">
        <f aca="false">dummy_variables!E106</f>
        <v>1</v>
      </c>
      <c r="I108" s="1" t="n">
        <f aca="false">dummy_variables!F106</f>
        <v>0</v>
      </c>
      <c r="J108" s="1" t="n">
        <f aca="false">dummy_variables!G106</f>
        <v>0</v>
      </c>
      <c r="K108" s="1" t="n">
        <f aca="false">dummy_variables!H106</f>
        <v>0</v>
      </c>
      <c r="L108" s="1" t="n">
        <f aca="false">dummy_variables!I106</f>
        <v>0</v>
      </c>
      <c r="M108" s="1" t="n">
        <f aca="false">dummy_variables!J106</f>
        <v>0</v>
      </c>
    </row>
    <row r="109" customFormat="false" ht="15" hidden="false" customHeight="true" outlineLevel="0" collapsed="false">
      <c r="A109" s="1" t="n">
        <v>103</v>
      </c>
      <c r="B109" s="1" t="n">
        <f aca="false">cleaned_data!F104</f>
        <v>6832</v>
      </c>
      <c r="C109" s="1" t="n">
        <f aca="false">cleaned_data!E104</f>
        <v>90084.4</v>
      </c>
      <c r="D109" s="1" t="n">
        <f aca="false">cleaned_data!H104</f>
        <v>14</v>
      </c>
      <c r="E109" s="1" t="n">
        <f aca="false">cleaned_data!I104</f>
        <v>80.5</v>
      </c>
      <c r="F109" s="1" t="n">
        <f aca="false">cleaned_data!G104</f>
        <v>0.185</v>
      </c>
      <c r="G109" s="1" t="n">
        <f aca="false">cleaned_data!K104</f>
        <v>1</v>
      </c>
      <c r="H109" s="1" t="n">
        <f aca="false">dummy_variables!E107</f>
        <v>1</v>
      </c>
      <c r="I109" s="1" t="n">
        <f aca="false">dummy_variables!F107</f>
        <v>0</v>
      </c>
      <c r="J109" s="1" t="n">
        <f aca="false">dummy_variables!G107</f>
        <v>0</v>
      </c>
      <c r="K109" s="1" t="n">
        <f aca="false">dummy_variables!H107</f>
        <v>0</v>
      </c>
      <c r="L109" s="1" t="n">
        <f aca="false">dummy_variables!I107</f>
        <v>0</v>
      </c>
      <c r="M109" s="1" t="n">
        <f aca="false">dummy_variables!J107</f>
        <v>0</v>
      </c>
    </row>
    <row r="110" customFormat="false" ht="15" hidden="false" customHeight="true" outlineLevel="0" collapsed="false">
      <c r="A110" s="1" t="n">
        <v>104</v>
      </c>
      <c r="B110" s="1" t="n">
        <f aca="false">cleaned_data!F105</f>
        <v>2414</v>
      </c>
      <c r="C110" s="1" t="n">
        <f aca="false">cleaned_data!E105</f>
        <v>32266.64</v>
      </c>
      <c r="D110" s="1" t="n">
        <f aca="false">cleaned_data!H105</f>
        <v>7</v>
      </c>
      <c r="E110" s="1" t="n">
        <f aca="false">cleaned_data!I105</f>
        <v>92.1</v>
      </c>
      <c r="F110" s="1" t="n">
        <f aca="false">cleaned_data!G105</f>
        <v>0.08</v>
      </c>
      <c r="G110" s="1" t="n">
        <f aca="false">cleaned_data!K105</f>
        <v>0</v>
      </c>
      <c r="H110" s="1" t="n">
        <f aca="false">dummy_variables!E108</f>
        <v>1</v>
      </c>
      <c r="I110" s="1" t="n">
        <f aca="false">dummy_variables!F108</f>
        <v>0</v>
      </c>
      <c r="J110" s="1" t="n">
        <f aca="false">dummy_variables!G108</f>
        <v>0</v>
      </c>
      <c r="K110" s="1" t="n">
        <f aca="false">dummy_variables!H108</f>
        <v>0</v>
      </c>
      <c r="L110" s="1" t="n">
        <f aca="false">dummy_variables!I108</f>
        <v>0</v>
      </c>
      <c r="M110" s="1" t="n">
        <f aca="false">dummy_variables!J108</f>
        <v>0</v>
      </c>
    </row>
    <row r="111" customFormat="false" ht="15" hidden="false" customHeight="true" outlineLevel="0" collapsed="false">
      <c r="A111" s="1" t="n">
        <v>105</v>
      </c>
      <c r="B111" s="1" t="n">
        <f aca="false">cleaned_data!F106</f>
        <v>7374</v>
      </c>
      <c r="C111" s="1" t="n">
        <f aca="false">cleaned_data!E106</f>
        <v>57919.07</v>
      </c>
      <c r="D111" s="1" t="n">
        <f aca="false">cleaned_data!H106</f>
        <v>21</v>
      </c>
      <c r="E111" s="1" t="n">
        <f aca="false">cleaned_data!I106</f>
        <v>82.3</v>
      </c>
      <c r="F111" s="1" t="n">
        <f aca="false">cleaned_data!G106</f>
        <v>0.103</v>
      </c>
      <c r="G111" s="1" t="n">
        <f aca="false">cleaned_data!K106</f>
        <v>0</v>
      </c>
      <c r="H111" s="1" t="n">
        <f aca="false">dummy_variables!E109</f>
        <v>0</v>
      </c>
      <c r="I111" s="1" t="n">
        <f aca="false">dummy_variables!F109</f>
        <v>0</v>
      </c>
      <c r="J111" s="1" t="n">
        <f aca="false">dummy_variables!G109</f>
        <v>0</v>
      </c>
      <c r="K111" s="1" t="n">
        <f aca="false">dummy_variables!H109</f>
        <v>0</v>
      </c>
      <c r="L111" s="1" t="n">
        <f aca="false">dummy_variables!I109</f>
        <v>0</v>
      </c>
      <c r="M111" s="1" t="n">
        <f aca="false">dummy_variables!J109</f>
        <v>1</v>
      </c>
    </row>
    <row r="112" customFormat="false" ht="15" hidden="false" customHeight="true" outlineLevel="0" collapsed="false">
      <c r="A112" s="1" t="n">
        <v>106</v>
      </c>
      <c r="B112" s="1" t="n">
        <f aca="false">cleaned_data!F107</f>
        <v>8739</v>
      </c>
      <c r="C112" s="1" t="n">
        <f aca="false">cleaned_data!E107</f>
        <v>74679.35</v>
      </c>
      <c r="D112" s="1" t="n">
        <f aca="false">cleaned_data!H107</f>
        <v>21</v>
      </c>
      <c r="E112" s="1" t="n">
        <f aca="false">cleaned_data!I107</f>
        <v>91.8</v>
      </c>
      <c r="F112" s="1" t="n">
        <f aca="false">cleaned_data!G107</f>
        <v>0.056</v>
      </c>
      <c r="G112" s="1" t="n">
        <f aca="false">cleaned_data!K107</f>
        <v>0</v>
      </c>
      <c r="H112" s="1" t="n">
        <f aca="false">dummy_variables!E110</f>
        <v>0</v>
      </c>
      <c r="I112" s="1" t="n">
        <f aca="false">dummy_variables!F110</f>
        <v>0</v>
      </c>
      <c r="J112" s="1" t="n">
        <f aca="false">dummy_variables!G110</f>
        <v>0</v>
      </c>
      <c r="K112" s="1" t="n">
        <f aca="false">dummy_variables!H110</f>
        <v>0</v>
      </c>
      <c r="L112" s="1" t="n">
        <f aca="false">dummy_variables!I110</f>
        <v>0</v>
      </c>
      <c r="M112" s="1" t="n">
        <f aca="false">dummy_variables!J110</f>
        <v>1</v>
      </c>
    </row>
    <row r="113" customFormat="false" ht="15" hidden="false" customHeight="true" outlineLevel="0" collapsed="false">
      <c r="A113" s="1" t="n">
        <v>107</v>
      </c>
      <c r="B113" s="1" t="n">
        <f aca="false">cleaned_data!F108</f>
        <v>6992</v>
      </c>
      <c r="C113" s="1" t="n">
        <f aca="false">cleaned_data!E108</f>
        <v>64294.23</v>
      </c>
      <c r="D113" s="1" t="n">
        <f aca="false">cleaned_data!H108</f>
        <v>14</v>
      </c>
      <c r="E113" s="1" t="n">
        <f aca="false">cleaned_data!I108</f>
        <v>94.1</v>
      </c>
      <c r="F113" s="1" t="n">
        <f aca="false">cleaned_data!G108</f>
        <v>0.133</v>
      </c>
      <c r="G113" s="1" t="n">
        <f aca="false">cleaned_data!K108</f>
        <v>0</v>
      </c>
      <c r="H113" s="1" t="n">
        <f aca="false">dummy_variables!E111</f>
        <v>0</v>
      </c>
      <c r="I113" s="1" t="n">
        <f aca="false">dummy_variables!F111</f>
        <v>0</v>
      </c>
      <c r="J113" s="1" t="n">
        <f aca="false">dummy_variables!G111</f>
        <v>0</v>
      </c>
      <c r="K113" s="1" t="n">
        <f aca="false">dummy_variables!H111</f>
        <v>0</v>
      </c>
      <c r="L113" s="1" t="n">
        <f aca="false">dummy_variables!I111</f>
        <v>0</v>
      </c>
      <c r="M113" s="1" t="n">
        <f aca="false">dummy_variables!J111</f>
        <v>1</v>
      </c>
    </row>
    <row r="114" customFormat="false" ht="15" hidden="false" customHeight="true" outlineLevel="0" collapsed="false">
      <c r="A114" s="1" t="n">
        <v>108</v>
      </c>
      <c r="B114" s="1" t="n">
        <f aca="false">cleaned_data!F109</f>
        <v>7107</v>
      </c>
      <c r="C114" s="1" t="n">
        <f aca="false">cleaned_data!E109</f>
        <v>31042.03</v>
      </c>
      <c r="D114" s="1" t="n">
        <f aca="false">cleaned_data!H109</f>
        <v>15</v>
      </c>
      <c r="E114" s="1" t="n">
        <f aca="false">cleaned_data!I109</f>
        <v>87</v>
      </c>
      <c r="F114" s="1" t="n">
        <f aca="false">cleaned_data!G109</f>
        <v>0.051</v>
      </c>
      <c r="G114" s="1" t="n">
        <f aca="false">cleaned_data!K109</f>
        <v>0</v>
      </c>
      <c r="H114" s="1" t="n">
        <f aca="false">dummy_variables!E112</f>
        <v>0</v>
      </c>
      <c r="I114" s="1" t="n">
        <f aca="false">dummy_variables!F112</f>
        <v>0</v>
      </c>
      <c r="J114" s="1" t="n">
        <f aca="false">dummy_variables!G112</f>
        <v>0</v>
      </c>
      <c r="K114" s="1" t="n">
        <f aca="false">dummy_variables!H112</f>
        <v>0</v>
      </c>
      <c r="L114" s="1" t="n">
        <f aca="false">dummy_variables!I112</f>
        <v>0</v>
      </c>
      <c r="M114" s="1" t="n">
        <f aca="false">dummy_variables!J112</f>
        <v>1</v>
      </c>
    </row>
    <row r="115" customFormat="false" ht="15" hidden="false" customHeight="true" outlineLevel="0" collapsed="false">
      <c r="A115" s="1" t="n">
        <v>109</v>
      </c>
      <c r="B115" s="1" t="n">
        <f aca="false">cleaned_data!F110</f>
        <v>6975</v>
      </c>
      <c r="C115" s="1" t="n">
        <f aca="false">cleaned_data!E110</f>
        <v>75265.02</v>
      </c>
      <c r="D115" s="1" t="n">
        <f aca="false">cleaned_data!H110</f>
        <v>20</v>
      </c>
      <c r="E115" s="1" t="n">
        <f aca="false">cleaned_data!I110</f>
        <v>73.8</v>
      </c>
      <c r="F115" s="1" t="n">
        <f aca="false">cleaned_data!G110</f>
        <v>0.157</v>
      </c>
      <c r="G115" s="1" t="n">
        <f aca="false">cleaned_data!K110</f>
        <v>1</v>
      </c>
      <c r="H115" s="1" t="n">
        <f aca="false">dummy_variables!E113</f>
        <v>1</v>
      </c>
      <c r="I115" s="1" t="n">
        <f aca="false">dummy_variables!F113</f>
        <v>0</v>
      </c>
      <c r="J115" s="1" t="n">
        <f aca="false">dummy_variables!G113</f>
        <v>0</v>
      </c>
      <c r="K115" s="1" t="n">
        <f aca="false">dummy_variables!H113</f>
        <v>0</v>
      </c>
      <c r="L115" s="1" t="n">
        <f aca="false">dummy_variables!I113</f>
        <v>0</v>
      </c>
      <c r="M115" s="1" t="n">
        <f aca="false">dummy_variables!J113</f>
        <v>0</v>
      </c>
    </row>
    <row r="116" customFormat="false" ht="15" hidden="false" customHeight="true" outlineLevel="0" collapsed="false">
      <c r="A116" s="1" t="n">
        <v>110</v>
      </c>
      <c r="B116" s="1" t="n">
        <f aca="false">cleaned_data!F111</f>
        <v>5493</v>
      </c>
      <c r="C116" s="1" t="n">
        <f aca="false">cleaned_data!E111</f>
        <v>69411.7</v>
      </c>
      <c r="D116" s="1" t="n">
        <f aca="false">cleaned_data!H111</f>
        <v>13</v>
      </c>
      <c r="E116" s="1" t="n">
        <f aca="false">cleaned_data!I111</f>
        <v>86.5</v>
      </c>
      <c r="F116" s="1" t="n">
        <f aca="false">cleaned_data!G111</f>
        <v>0.292</v>
      </c>
      <c r="G116" s="1" t="n">
        <f aca="false">cleaned_data!K111</f>
        <v>0</v>
      </c>
      <c r="H116" s="1" t="n">
        <f aca="false">dummy_variables!E114</f>
        <v>1</v>
      </c>
      <c r="I116" s="1" t="n">
        <f aca="false">dummy_variables!F114</f>
        <v>0</v>
      </c>
      <c r="J116" s="1" t="n">
        <f aca="false">dummy_variables!G114</f>
        <v>0</v>
      </c>
      <c r="K116" s="1" t="n">
        <f aca="false">dummy_variables!H114</f>
        <v>0</v>
      </c>
      <c r="L116" s="1" t="n">
        <f aca="false">dummy_variables!I114</f>
        <v>0</v>
      </c>
      <c r="M116" s="1" t="n">
        <f aca="false">dummy_variables!J114</f>
        <v>0</v>
      </c>
    </row>
    <row r="117" customFormat="false" ht="15" hidden="false" customHeight="true" outlineLevel="0" collapsed="false">
      <c r="A117" s="1" t="n">
        <v>111</v>
      </c>
      <c r="B117" s="1" t="n">
        <f aca="false">cleaned_data!F112</f>
        <v>5686</v>
      </c>
      <c r="C117" s="1" t="n">
        <f aca="false">cleaned_data!E112</f>
        <v>51056.15</v>
      </c>
      <c r="D117" s="1" t="n">
        <f aca="false">cleaned_data!H112</f>
        <v>13</v>
      </c>
      <c r="E117" s="1" t="n">
        <f aca="false">cleaned_data!I112</f>
        <v>89.9</v>
      </c>
      <c r="F117" s="1" t="n">
        <f aca="false">cleaned_data!G112</f>
        <v>0.089</v>
      </c>
      <c r="G117" s="1" t="n">
        <f aca="false">cleaned_data!K112</f>
        <v>0</v>
      </c>
      <c r="H117" s="1" t="n">
        <f aca="false">dummy_variables!E115</f>
        <v>1</v>
      </c>
      <c r="I117" s="1" t="n">
        <f aca="false">dummy_variables!F115</f>
        <v>0</v>
      </c>
      <c r="J117" s="1" t="n">
        <f aca="false">dummy_variables!G115</f>
        <v>0</v>
      </c>
      <c r="K117" s="1" t="n">
        <f aca="false">dummy_variables!H115</f>
        <v>0</v>
      </c>
      <c r="L117" s="1" t="n">
        <f aca="false">dummy_variables!I115</f>
        <v>0</v>
      </c>
      <c r="M117" s="1" t="n">
        <f aca="false">dummy_variables!J115</f>
        <v>0</v>
      </c>
    </row>
    <row r="118" customFormat="false" ht="15" hidden="false" customHeight="true" outlineLevel="0" collapsed="false">
      <c r="A118" s="1" t="n">
        <v>112</v>
      </c>
      <c r="B118" s="1" t="n">
        <f aca="false">cleaned_data!F113</f>
        <v>4063</v>
      </c>
      <c r="C118" s="1" t="n">
        <f aca="false">cleaned_data!E113</f>
        <v>52758.01</v>
      </c>
      <c r="D118" s="1" t="n">
        <f aca="false">cleaned_data!H113</f>
        <v>12</v>
      </c>
      <c r="E118" s="1" t="n">
        <f aca="false">cleaned_data!I113</f>
        <v>91.7</v>
      </c>
      <c r="F118" s="1" t="n">
        <f aca="false">cleaned_data!G113</f>
        <v>0.057</v>
      </c>
      <c r="G118" s="1" t="n">
        <f aca="false">cleaned_data!K113</f>
        <v>0</v>
      </c>
      <c r="H118" s="1" t="n">
        <f aca="false">dummy_variables!E116</f>
        <v>1</v>
      </c>
      <c r="I118" s="1" t="n">
        <f aca="false">dummy_variables!F116</f>
        <v>0</v>
      </c>
      <c r="J118" s="1" t="n">
        <f aca="false">dummy_variables!G116</f>
        <v>0</v>
      </c>
      <c r="K118" s="1" t="n">
        <f aca="false">dummy_variables!H116</f>
        <v>0</v>
      </c>
      <c r="L118" s="1" t="n">
        <f aca="false">dummy_variables!I116</f>
        <v>0</v>
      </c>
      <c r="M118" s="1" t="n">
        <f aca="false">dummy_variables!J116</f>
        <v>0</v>
      </c>
    </row>
    <row r="119" customFormat="false" ht="15" hidden="false" customHeight="true" outlineLevel="0" collapsed="false">
      <c r="A119" s="1" t="n">
        <v>113</v>
      </c>
      <c r="B119" s="1" t="n">
        <f aca="false">cleaned_data!F114</f>
        <v>8966</v>
      </c>
      <c r="C119" s="1" t="n">
        <f aca="false">cleaned_data!E114</f>
        <v>61426.04</v>
      </c>
      <c r="D119" s="1" t="n">
        <f aca="false">cleaned_data!H114</f>
        <v>22</v>
      </c>
      <c r="E119" s="1" t="n">
        <f aca="false">cleaned_data!I114</f>
        <v>76.4</v>
      </c>
      <c r="F119" s="1" t="n">
        <f aca="false">cleaned_data!G114</f>
        <v>0.173</v>
      </c>
      <c r="G119" s="1" t="n">
        <f aca="false">cleaned_data!K114</f>
        <v>0</v>
      </c>
      <c r="H119" s="1" t="n">
        <f aca="false">dummy_variables!E117</f>
        <v>1</v>
      </c>
      <c r="I119" s="1" t="n">
        <f aca="false">dummy_variables!F117</f>
        <v>0</v>
      </c>
      <c r="J119" s="1" t="n">
        <f aca="false">dummy_variables!G117</f>
        <v>0</v>
      </c>
      <c r="K119" s="1" t="n">
        <f aca="false">dummy_variables!H117</f>
        <v>0</v>
      </c>
      <c r="L119" s="1" t="n">
        <f aca="false">dummy_variables!I117</f>
        <v>0</v>
      </c>
      <c r="M119" s="1" t="n">
        <f aca="false">dummy_variables!J117</f>
        <v>1</v>
      </c>
    </row>
    <row r="120" customFormat="false" ht="15" hidden="false" customHeight="true" outlineLevel="0" collapsed="false">
      <c r="A120" s="1" t="n">
        <v>114</v>
      </c>
      <c r="B120" s="1" t="n">
        <f aca="false">cleaned_data!F115</f>
        <v>9489</v>
      </c>
      <c r="C120" s="1" t="n">
        <f aca="false">cleaned_data!E115</f>
        <v>80176.34</v>
      </c>
      <c r="D120" s="1" t="n">
        <f aca="false">cleaned_data!H115</f>
        <v>22</v>
      </c>
      <c r="E120" s="1" t="n">
        <f aca="false">cleaned_data!I115</f>
        <v>94.3</v>
      </c>
      <c r="F120" s="1" t="n">
        <f aca="false">cleaned_data!G115</f>
        <v>0.142</v>
      </c>
      <c r="G120" s="1" t="n">
        <f aca="false">cleaned_data!K115</f>
        <v>0</v>
      </c>
      <c r="H120" s="1" t="n">
        <f aca="false">dummy_variables!E118</f>
        <v>1</v>
      </c>
      <c r="I120" s="1" t="n">
        <f aca="false">dummy_variables!F118</f>
        <v>0</v>
      </c>
      <c r="J120" s="1" t="n">
        <f aca="false">dummy_variables!G118</f>
        <v>0</v>
      </c>
      <c r="K120" s="1" t="n">
        <f aca="false">dummy_variables!H118</f>
        <v>0</v>
      </c>
      <c r="L120" s="1" t="n">
        <f aca="false">dummy_variables!I118</f>
        <v>0</v>
      </c>
      <c r="M120" s="1" t="n">
        <f aca="false">dummy_variables!J118</f>
        <v>1</v>
      </c>
    </row>
    <row r="121" customFormat="false" ht="15" hidden="false" customHeight="true" outlineLevel="0" collapsed="false">
      <c r="A121" s="1" t="n">
        <v>115</v>
      </c>
      <c r="B121" s="1" t="n">
        <f aca="false">cleaned_data!F116</f>
        <v>9225</v>
      </c>
      <c r="C121" s="1" t="n">
        <f aca="false">cleaned_data!E116</f>
        <v>33605.18</v>
      </c>
      <c r="D121" s="1" t="n">
        <f aca="false">cleaned_data!H116</f>
        <v>23</v>
      </c>
      <c r="E121" s="1" t="n">
        <f aca="false">cleaned_data!I116</f>
        <v>88.4</v>
      </c>
      <c r="F121" s="1" t="n">
        <f aca="false">cleaned_data!G116</f>
        <v>0.159</v>
      </c>
      <c r="G121" s="1" t="n">
        <f aca="false">cleaned_data!K116</f>
        <v>0</v>
      </c>
      <c r="H121" s="1" t="n">
        <f aca="false">dummy_variables!E119</f>
        <v>1</v>
      </c>
      <c r="I121" s="1" t="n">
        <f aca="false">dummy_variables!F119</f>
        <v>0</v>
      </c>
      <c r="J121" s="1" t="n">
        <f aca="false">dummy_variables!G119</f>
        <v>0</v>
      </c>
      <c r="K121" s="1" t="n">
        <f aca="false">dummy_variables!H119</f>
        <v>0</v>
      </c>
      <c r="L121" s="1" t="n">
        <f aca="false">dummy_variables!I119</f>
        <v>0</v>
      </c>
      <c r="M121" s="1" t="n">
        <f aca="false">dummy_variables!J119</f>
        <v>1</v>
      </c>
    </row>
    <row r="122" customFormat="false" ht="15" hidden="false" customHeight="true" outlineLevel="0" collapsed="false">
      <c r="A122" s="1" t="n">
        <v>116</v>
      </c>
      <c r="B122" s="1" t="n">
        <f aca="false">cleaned_data!F117</f>
        <v>9249</v>
      </c>
      <c r="C122" s="1" t="n">
        <f aca="false">cleaned_data!E117</f>
        <v>25990.54</v>
      </c>
      <c r="D122" s="1" t="n">
        <f aca="false">cleaned_data!H117</f>
        <v>23</v>
      </c>
      <c r="E122" s="1" t="n">
        <f aca="false">cleaned_data!I117</f>
        <v>92.5</v>
      </c>
      <c r="F122" s="1" t="n">
        <f aca="false">cleaned_data!G117</f>
        <v>0.139</v>
      </c>
      <c r="G122" s="1" t="n">
        <f aca="false">cleaned_data!K117</f>
        <v>0</v>
      </c>
      <c r="H122" s="1" t="n">
        <f aca="false">dummy_variables!E120</f>
        <v>1</v>
      </c>
      <c r="I122" s="1" t="n">
        <f aca="false">dummy_variables!F120</f>
        <v>0</v>
      </c>
      <c r="J122" s="1" t="n">
        <f aca="false">dummy_variables!G120</f>
        <v>0</v>
      </c>
      <c r="K122" s="1" t="n">
        <f aca="false">dummy_variables!H120</f>
        <v>0</v>
      </c>
      <c r="L122" s="1" t="n">
        <f aca="false">dummy_variables!I120</f>
        <v>0</v>
      </c>
      <c r="M122" s="1" t="n">
        <f aca="false">dummy_variables!J120</f>
        <v>1</v>
      </c>
    </row>
    <row r="123" customFormat="false" ht="15" hidden="false" customHeight="true" outlineLevel="0" collapsed="false">
      <c r="A123" s="1" t="n">
        <v>117</v>
      </c>
      <c r="B123" s="1" t="n">
        <f aca="false">cleaned_data!F118</f>
        <v>7821</v>
      </c>
      <c r="C123" s="1" t="n">
        <f aca="false">cleaned_data!E118</f>
        <v>43685.14</v>
      </c>
      <c r="D123" s="1" t="n">
        <f aca="false">cleaned_data!H118</f>
        <v>17</v>
      </c>
      <c r="E123" s="1" t="n">
        <f aca="false">cleaned_data!I118</f>
        <v>91</v>
      </c>
      <c r="F123" s="1" t="n">
        <f aca="false">cleaned_data!G118</f>
        <v>0.19</v>
      </c>
      <c r="G123" s="1" t="n">
        <f aca="false">cleaned_data!K118</f>
        <v>1</v>
      </c>
      <c r="H123" s="1" t="n">
        <f aca="false">dummy_variables!E121</f>
        <v>0</v>
      </c>
      <c r="I123" s="1" t="n">
        <f aca="false">dummy_variables!F121</f>
        <v>1</v>
      </c>
      <c r="J123" s="1" t="n">
        <f aca="false">dummy_variables!G121</f>
        <v>0</v>
      </c>
      <c r="K123" s="1" t="n">
        <f aca="false">dummy_variables!H121</f>
        <v>0</v>
      </c>
      <c r="L123" s="1" t="n">
        <f aca="false">dummy_variables!I121</f>
        <v>0</v>
      </c>
      <c r="M123" s="1" t="n">
        <f aca="false">dummy_variables!J121</f>
        <v>1</v>
      </c>
    </row>
    <row r="124" customFormat="false" ht="15" hidden="false" customHeight="true" outlineLevel="0" collapsed="false">
      <c r="A124" s="1" t="n">
        <v>118</v>
      </c>
      <c r="B124" s="1" t="n">
        <f aca="false">cleaned_data!F119</f>
        <v>8434</v>
      </c>
      <c r="C124" s="1" t="n">
        <f aca="false">cleaned_data!E119</f>
        <v>57360.01</v>
      </c>
      <c r="D124" s="1" t="n">
        <f aca="false">cleaned_data!H119</f>
        <v>19</v>
      </c>
      <c r="E124" s="1" t="n">
        <f aca="false">cleaned_data!I119</f>
        <v>84.1</v>
      </c>
      <c r="F124" s="1" t="n">
        <f aca="false">cleaned_data!G119</f>
        <v>0.151</v>
      </c>
      <c r="G124" s="1" t="n">
        <f aca="false">cleaned_data!K119</f>
        <v>0</v>
      </c>
      <c r="H124" s="1" t="n">
        <f aca="false">dummy_variables!E122</f>
        <v>0</v>
      </c>
      <c r="I124" s="1" t="n">
        <f aca="false">dummy_variables!F122</f>
        <v>1</v>
      </c>
      <c r="J124" s="1" t="n">
        <f aca="false">dummy_variables!G122</f>
        <v>0</v>
      </c>
      <c r="K124" s="1" t="n">
        <f aca="false">dummy_variables!H122</f>
        <v>0</v>
      </c>
      <c r="L124" s="1" t="n">
        <f aca="false">dummy_variables!I122</f>
        <v>0</v>
      </c>
      <c r="M124" s="1" t="n">
        <f aca="false">dummy_variables!J122</f>
        <v>1</v>
      </c>
    </row>
    <row r="125" customFormat="false" ht="15" hidden="false" customHeight="true" outlineLevel="0" collapsed="false">
      <c r="A125" s="1" t="n">
        <v>119</v>
      </c>
      <c r="B125" s="1" t="n">
        <f aca="false">cleaned_data!F120</f>
        <v>8512</v>
      </c>
      <c r="C125" s="1" t="n">
        <f aca="false">cleaned_data!E120</f>
        <v>42415.47</v>
      </c>
      <c r="D125" s="1" t="n">
        <f aca="false">cleaned_data!H120</f>
        <v>18</v>
      </c>
      <c r="E125" s="1" t="n">
        <f aca="false">cleaned_data!I120</f>
        <v>96.8</v>
      </c>
      <c r="F125" s="1" t="n">
        <f aca="false">cleaned_data!G120</f>
        <v>0.133</v>
      </c>
      <c r="G125" s="1" t="n">
        <f aca="false">cleaned_data!K120</f>
        <v>0</v>
      </c>
      <c r="H125" s="1" t="n">
        <f aca="false">dummy_variables!E123</f>
        <v>0</v>
      </c>
      <c r="I125" s="1" t="n">
        <f aca="false">dummy_variables!F123</f>
        <v>1</v>
      </c>
      <c r="J125" s="1" t="n">
        <f aca="false">dummy_variables!G123</f>
        <v>0</v>
      </c>
      <c r="K125" s="1" t="n">
        <f aca="false">dummy_variables!H123</f>
        <v>0</v>
      </c>
      <c r="L125" s="1" t="n">
        <f aca="false">dummy_variables!I123</f>
        <v>0</v>
      </c>
      <c r="M125" s="1" t="n">
        <f aca="false">dummy_variables!J123</f>
        <v>1</v>
      </c>
    </row>
    <row r="126" customFormat="false" ht="15" hidden="false" customHeight="true" outlineLevel="0" collapsed="false">
      <c r="A126" s="1" t="n">
        <v>120</v>
      </c>
      <c r="B126" s="1" t="n">
        <f aca="false">cleaned_data!F121</f>
        <v>7816</v>
      </c>
      <c r="C126" s="1" t="n">
        <f aca="false">cleaned_data!E121</f>
        <v>54968.98</v>
      </c>
      <c r="D126" s="1" t="n">
        <f aca="false">cleaned_data!H121</f>
        <v>19</v>
      </c>
      <c r="E126" s="1" t="n">
        <f aca="false">cleaned_data!I121</f>
        <v>95.7</v>
      </c>
      <c r="F126" s="1" t="n">
        <f aca="false">cleaned_data!G121</f>
        <v>0.232</v>
      </c>
      <c r="G126" s="1" t="n">
        <f aca="false">cleaned_data!K121</f>
        <v>0</v>
      </c>
      <c r="H126" s="1" t="n">
        <f aca="false">dummy_variables!E124</f>
        <v>0</v>
      </c>
      <c r="I126" s="1" t="n">
        <f aca="false">dummy_variables!F124</f>
        <v>1</v>
      </c>
      <c r="J126" s="1" t="n">
        <f aca="false">dummy_variables!G124</f>
        <v>0</v>
      </c>
      <c r="K126" s="1" t="n">
        <f aca="false">dummy_variables!H124</f>
        <v>0</v>
      </c>
      <c r="L126" s="1" t="n">
        <f aca="false">dummy_variables!I124</f>
        <v>0</v>
      </c>
      <c r="M126" s="1" t="n">
        <f aca="false">dummy_variables!J124</f>
        <v>1</v>
      </c>
    </row>
    <row r="127" customFormat="false" ht="15" hidden="false" customHeight="true" outlineLevel="0" collapsed="false">
      <c r="A127" s="1" t="n">
        <v>121</v>
      </c>
      <c r="B127" s="1" t="n">
        <f aca="false">cleaned_data!F122</f>
        <v>3853</v>
      </c>
      <c r="C127" s="1" t="n">
        <f aca="false">cleaned_data!E122</f>
        <v>43896.13</v>
      </c>
      <c r="D127" s="1" t="n">
        <f aca="false">cleaned_data!H122</f>
        <v>13</v>
      </c>
      <c r="E127" s="1" t="n">
        <f aca="false">cleaned_data!I122</f>
        <v>83</v>
      </c>
      <c r="F127" s="1" t="n">
        <f aca="false">cleaned_data!G122</f>
        <v>0.088</v>
      </c>
      <c r="G127" s="1" t="n">
        <f aca="false">cleaned_data!K122</f>
        <v>0</v>
      </c>
      <c r="H127" s="1" t="n">
        <f aca="false">dummy_variables!E125</f>
        <v>0</v>
      </c>
      <c r="I127" s="1" t="n">
        <f aca="false">dummy_variables!F125</f>
        <v>0</v>
      </c>
      <c r="J127" s="1" t="n">
        <f aca="false">dummy_variables!G125</f>
        <v>0</v>
      </c>
      <c r="K127" s="1" t="n">
        <f aca="false">dummy_variables!H125</f>
        <v>1</v>
      </c>
      <c r="L127" s="1" t="n">
        <f aca="false">dummy_variables!I125</f>
        <v>0</v>
      </c>
      <c r="M127" s="1" t="n">
        <f aca="false">dummy_variables!J125</f>
        <v>0</v>
      </c>
    </row>
    <row r="128" customFormat="false" ht="15" hidden="false" customHeight="true" outlineLevel="0" collapsed="false">
      <c r="A128" s="1" t="n">
        <v>122</v>
      </c>
      <c r="B128" s="1" t="n">
        <f aca="false">cleaned_data!F123</f>
        <v>3694</v>
      </c>
      <c r="C128" s="1" t="n">
        <f aca="false">cleaned_data!E123</f>
        <v>83044.17</v>
      </c>
      <c r="D128" s="1" t="n">
        <f aca="false">cleaned_data!H123</f>
        <v>14</v>
      </c>
      <c r="E128" s="1" t="n">
        <f aca="false">cleaned_data!I123</f>
        <v>89.4</v>
      </c>
      <c r="F128" s="1" t="n">
        <f aca="false">cleaned_data!G123</f>
        <v>0</v>
      </c>
      <c r="G128" s="1" t="n">
        <f aca="false">cleaned_data!K123</f>
        <v>0</v>
      </c>
      <c r="H128" s="1" t="n">
        <f aca="false">dummy_variables!E126</f>
        <v>0</v>
      </c>
      <c r="I128" s="1" t="n">
        <f aca="false">dummy_variables!F126</f>
        <v>0</v>
      </c>
      <c r="J128" s="1" t="n">
        <f aca="false">dummy_variables!G126</f>
        <v>0</v>
      </c>
      <c r="K128" s="1" t="n">
        <f aca="false">dummy_variables!H126</f>
        <v>1</v>
      </c>
      <c r="L128" s="1" t="n">
        <f aca="false">dummy_variables!I126</f>
        <v>0</v>
      </c>
      <c r="M128" s="1" t="n">
        <f aca="false">dummy_variables!J126</f>
        <v>0</v>
      </c>
    </row>
    <row r="129" customFormat="false" ht="15" hidden="false" customHeight="true" outlineLevel="0" collapsed="false">
      <c r="A129" s="1" t="n">
        <v>123</v>
      </c>
      <c r="B129" s="1" t="n">
        <f aca="false">cleaned_data!F124</f>
        <v>4423</v>
      </c>
      <c r="C129" s="1" t="n">
        <f aca="false">cleaned_data!E124</f>
        <v>48396.13</v>
      </c>
      <c r="D129" s="1" t="n">
        <f aca="false">cleaned_data!H124</f>
        <v>15</v>
      </c>
      <c r="E129" s="1" t="n">
        <f aca="false">cleaned_data!I124</f>
        <v>85.7</v>
      </c>
      <c r="F129" s="1" t="n">
        <f aca="false">cleaned_data!G124</f>
        <v>0.069</v>
      </c>
      <c r="G129" s="1" t="n">
        <f aca="false">cleaned_data!K124</f>
        <v>0</v>
      </c>
      <c r="H129" s="1" t="n">
        <f aca="false">dummy_variables!E127</f>
        <v>0</v>
      </c>
      <c r="I129" s="1" t="n">
        <f aca="false">dummy_variables!F127</f>
        <v>0</v>
      </c>
      <c r="J129" s="1" t="n">
        <f aca="false">dummy_variables!G127</f>
        <v>0</v>
      </c>
      <c r="K129" s="1" t="n">
        <f aca="false">dummy_variables!H127</f>
        <v>1</v>
      </c>
      <c r="L129" s="1" t="n">
        <f aca="false">dummy_variables!I127</f>
        <v>0</v>
      </c>
      <c r="M129" s="1" t="n">
        <f aca="false">dummy_variables!J127</f>
        <v>0</v>
      </c>
    </row>
    <row r="130" customFormat="false" ht="15" hidden="false" customHeight="true" outlineLevel="0" collapsed="false">
      <c r="A130" s="1" t="n">
        <v>124</v>
      </c>
      <c r="B130" s="1" t="n">
        <f aca="false">cleaned_data!F125</f>
        <v>1906</v>
      </c>
      <c r="C130" s="1" t="n">
        <f aca="false">cleaned_data!E125</f>
        <v>19063.48</v>
      </c>
      <c r="D130" s="1" t="n">
        <f aca="false">cleaned_data!H125</f>
        <v>10</v>
      </c>
      <c r="E130" s="1" t="n">
        <f aca="false">cleaned_data!I125</f>
        <v>97.8</v>
      </c>
      <c r="F130" s="1" t="n">
        <f aca="false">cleaned_data!G125</f>
        <v>0.216</v>
      </c>
      <c r="G130" s="1" t="n">
        <f aca="false">cleaned_data!K125</f>
        <v>0</v>
      </c>
      <c r="H130" s="1" t="n">
        <f aca="false">dummy_variables!E128</f>
        <v>0</v>
      </c>
      <c r="I130" s="1" t="n">
        <f aca="false">dummy_variables!F128</f>
        <v>0</v>
      </c>
      <c r="J130" s="1" t="n">
        <f aca="false">dummy_variables!G128</f>
        <v>0</v>
      </c>
      <c r="K130" s="1" t="n">
        <f aca="false">dummy_variables!H128</f>
        <v>1</v>
      </c>
      <c r="L130" s="1" t="n">
        <f aca="false">dummy_variables!I128</f>
        <v>0</v>
      </c>
      <c r="M130" s="1" t="n">
        <f aca="false">dummy_variables!J128</f>
        <v>0</v>
      </c>
    </row>
    <row r="131" customFormat="false" ht="15" hidden="false" customHeight="true" outlineLevel="0" collapsed="false">
      <c r="A131" s="1" t="n">
        <v>125</v>
      </c>
      <c r="B131" s="1" t="n">
        <f aca="false">cleaned_data!F126</f>
        <v>10396</v>
      </c>
      <c r="C131" s="1" t="n">
        <f aca="false">cleaned_data!E126</f>
        <v>61541.21</v>
      </c>
      <c r="D131" s="1" t="n">
        <f aca="false">cleaned_data!H126</f>
        <v>25</v>
      </c>
      <c r="E131" s="1" t="n">
        <f aca="false">cleaned_data!I126</f>
        <v>88.1</v>
      </c>
      <c r="F131" s="1" t="n">
        <f aca="false">cleaned_data!G126</f>
        <v>0.123</v>
      </c>
      <c r="G131" s="1" t="n">
        <f aca="false">cleaned_data!K126</f>
        <v>1</v>
      </c>
      <c r="H131" s="1" t="n">
        <f aca="false">dummy_variables!E129</f>
        <v>0</v>
      </c>
      <c r="I131" s="1" t="n">
        <f aca="false">dummy_variables!F129</f>
        <v>0</v>
      </c>
      <c r="J131" s="1" t="n">
        <f aca="false">dummy_variables!G129</f>
        <v>0</v>
      </c>
      <c r="K131" s="1" t="n">
        <f aca="false">dummy_variables!H129</f>
        <v>0</v>
      </c>
      <c r="L131" s="1" t="n">
        <f aca="false">dummy_variables!I129</f>
        <v>1</v>
      </c>
      <c r="M131" s="1" t="n">
        <f aca="false">dummy_variables!J129</f>
        <v>0</v>
      </c>
    </row>
    <row r="132" customFormat="false" ht="15" hidden="false" customHeight="true" outlineLevel="0" collapsed="false">
      <c r="A132" s="1" t="n">
        <v>126</v>
      </c>
      <c r="B132" s="1" t="n">
        <f aca="false">cleaned_data!F127</f>
        <v>11076</v>
      </c>
      <c r="C132" s="1" t="n">
        <f aca="false">cleaned_data!E127</f>
        <v>44747</v>
      </c>
      <c r="D132" s="1" t="n">
        <f aca="false">cleaned_data!H127</f>
        <v>27</v>
      </c>
      <c r="E132" s="1" t="n">
        <f aca="false">cleaned_data!I127</f>
        <v>98.3</v>
      </c>
      <c r="F132" s="1" t="n">
        <f aca="false">cleaned_data!G127</f>
        <v>0.176</v>
      </c>
      <c r="G132" s="1" t="n">
        <f aca="false">cleaned_data!K127</f>
        <v>0</v>
      </c>
      <c r="H132" s="1" t="n">
        <f aca="false">dummy_variables!E130</f>
        <v>0</v>
      </c>
      <c r="I132" s="1" t="n">
        <f aca="false">dummy_variables!F130</f>
        <v>0</v>
      </c>
      <c r="J132" s="1" t="n">
        <f aca="false">dummy_variables!G130</f>
        <v>0</v>
      </c>
      <c r="K132" s="1" t="n">
        <f aca="false">dummy_variables!H130</f>
        <v>0</v>
      </c>
      <c r="L132" s="1" t="n">
        <f aca="false">dummy_variables!I130</f>
        <v>1</v>
      </c>
      <c r="M132" s="1" t="n">
        <f aca="false">dummy_variables!J130</f>
        <v>0</v>
      </c>
    </row>
    <row r="133" customFormat="false" ht="15" hidden="false" customHeight="true" outlineLevel="0" collapsed="false">
      <c r="A133" s="1" t="n">
        <v>127</v>
      </c>
      <c r="B133" s="1" t="n">
        <f aca="false">cleaned_data!F128</f>
        <v>9574</v>
      </c>
      <c r="C133" s="1" t="n">
        <f aca="false">cleaned_data!E128</f>
        <v>56517.9</v>
      </c>
      <c r="D133" s="1" t="n">
        <f aca="false">cleaned_data!H128</f>
        <v>20</v>
      </c>
      <c r="E133" s="1" t="n">
        <f aca="false">cleaned_data!I128</f>
        <v>88.2</v>
      </c>
      <c r="F133" s="1" t="n">
        <f aca="false">cleaned_data!G128</f>
        <v>0.204</v>
      </c>
      <c r="G133" s="1" t="n">
        <f aca="false">cleaned_data!K128</f>
        <v>1</v>
      </c>
      <c r="H133" s="1" t="n">
        <f aca="false">dummy_variables!E131</f>
        <v>0</v>
      </c>
      <c r="I133" s="1" t="n">
        <f aca="false">dummy_variables!F131</f>
        <v>0</v>
      </c>
      <c r="J133" s="1" t="n">
        <f aca="false">dummy_variables!G131</f>
        <v>0</v>
      </c>
      <c r="K133" s="1" t="n">
        <f aca="false">dummy_variables!H131</f>
        <v>0</v>
      </c>
      <c r="L133" s="1" t="n">
        <f aca="false">dummy_variables!I131</f>
        <v>1</v>
      </c>
      <c r="M133" s="1" t="n">
        <f aca="false">dummy_variables!J131</f>
        <v>0</v>
      </c>
    </row>
    <row r="134" customFormat="false" ht="15" hidden="false" customHeight="true" outlineLevel="0" collapsed="false">
      <c r="A134" s="1" t="n">
        <v>128</v>
      </c>
      <c r="B134" s="1" t="n">
        <f aca="false">cleaned_data!F129</f>
        <v>8221</v>
      </c>
      <c r="C134" s="1" t="n">
        <f aca="false">cleaned_data!E129</f>
        <v>37828.5</v>
      </c>
      <c r="D134" s="1" t="n">
        <f aca="false">cleaned_data!H129</f>
        <v>19</v>
      </c>
      <c r="E134" s="1" t="n">
        <f aca="false">cleaned_data!I129</f>
        <v>81.5</v>
      </c>
      <c r="F134" s="1" t="n">
        <f aca="false">cleaned_data!G129</f>
        <v>0.096</v>
      </c>
      <c r="G134" s="1" t="n">
        <f aca="false">cleaned_data!K129</f>
        <v>0</v>
      </c>
      <c r="H134" s="1" t="n">
        <f aca="false">dummy_variables!E132</f>
        <v>0</v>
      </c>
      <c r="I134" s="1" t="n">
        <f aca="false">dummy_variables!F132</f>
        <v>0</v>
      </c>
      <c r="J134" s="1" t="n">
        <f aca="false">dummy_variables!G132</f>
        <v>0</v>
      </c>
      <c r="K134" s="1" t="n">
        <f aca="false">dummy_variables!H132</f>
        <v>0</v>
      </c>
      <c r="L134" s="1" t="n">
        <f aca="false">dummy_variables!I132</f>
        <v>1</v>
      </c>
      <c r="M134" s="1" t="n">
        <f aca="false">dummy_variables!J132</f>
        <v>0</v>
      </c>
    </row>
    <row r="135" customFormat="false" ht="15" hidden="false" customHeight="true" outlineLevel="0" collapsed="false">
      <c r="A135" s="1" t="n">
        <v>129</v>
      </c>
      <c r="B135" s="1" t="n">
        <f aca="false">cleaned_data!F130</f>
        <v>10618</v>
      </c>
      <c r="C135" s="1" t="n">
        <f aca="false">cleaned_data!E130</f>
        <v>66250.53</v>
      </c>
      <c r="D135" s="1" t="n">
        <f aca="false">cleaned_data!H130</f>
        <v>27</v>
      </c>
      <c r="E135" s="1" t="n">
        <f aca="false">cleaned_data!I130</f>
        <v>88.3</v>
      </c>
      <c r="F135" s="1" t="n">
        <f aca="false">cleaned_data!G130</f>
        <v>0.142</v>
      </c>
      <c r="G135" s="1" t="n">
        <f aca="false">cleaned_data!K130</f>
        <v>1</v>
      </c>
      <c r="H135" s="1" t="n">
        <f aca="false">dummy_variables!E133</f>
        <v>0</v>
      </c>
      <c r="I135" s="1" t="n">
        <f aca="false">dummy_variables!F133</f>
        <v>0</v>
      </c>
      <c r="J135" s="1" t="n">
        <f aca="false">dummy_variables!G133</f>
        <v>0</v>
      </c>
      <c r="K135" s="1" t="n">
        <f aca="false">dummy_variables!H133</f>
        <v>0</v>
      </c>
      <c r="L135" s="1" t="n">
        <f aca="false">dummy_variables!I133</f>
        <v>0</v>
      </c>
      <c r="M135" s="1" t="n">
        <f aca="false">dummy_variables!J133</f>
        <v>0</v>
      </c>
    </row>
    <row r="136" customFormat="false" ht="15" hidden="false" customHeight="true" outlineLevel="0" collapsed="false">
      <c r="A136" s="1" t="n">
        <v>130</v>
      </c>
      <c r="B136" s="1" t="n">
        <f aca="false">cleaned_data!F131</f>
        <v>10596</v>
      </c>
      <c r="C136" s="1" t="n">
        <f aca="false">cleaned_data!E131</f>
        <v>68410.93</v>
      </c>
      <c r="D136" s="1" t="n">
        <f aca="false">cleaned_data!H131</f>
        <v>25</v>
      </c>
      <c r="E136" s="1" t="n">
        <f aca="false">cleaned_data!I131</f>
        <v>81.2</v>
      </c>
      <c r="F136" s="1" t="n">
        <f aca="false">cleaned_data!G131</f>
        <v>0.207</v>
      </c>
      <c r="G136" s="1" t="n">
        <f aca="false">cleaned_data!K131</f>
        <v>0</v>
      </c>
      <c r="H136" s="1" t="n">
        <f aca="false">dummy_variables!E134</f>
        <v>0</v>
      </c>
      <c r="I136" s="1" t="n">
        <f aca="false">dummy_variables!F134</f>
        <v>0</v>
      </c>
      <c r="J136" s="1" t="n">
        <f aca="false">dummy_variables!G134</f>
        <v>0</v>
      </c>
      <c r="K136" s="1" t="n">
        <f aca="false">dummy_variables!H134</f>
        <v>0</v>
      </c>
      <c r="L136" s="1" t="n">
        <f aca="false">dummy_variables!I134</f>
        <v>0</v>
      </c>
      <c r="M136" s="1" t="n">
        <f aca="false">dummy_variables!J134</f>
        <v>0</v>
      </c>
    </row>
    <row r="137" customFormat="false" ht="15" hidden="false" customHeight="true" outlineLevel="0" collapsed="false">
      <c r="A137" s="1" t="n">
        <v>131</v>
      </c>
      <c r="B137" s="1" t="n">
        <f aca="false">cleaned_data!F132</f>
        <v>9619</v>
      </c>
      <c r="C137" s="1" t="n">
        <f aca="false">cleaned_data!E132</f>
        <v>50735.63</v>
      </c>
      <c r="D137" s="1" t="n">
        <f aca="false">cleaned_data!H132</f>
        <v>19</v>
      </c>
      <c r="E137" s="1" t="n">
        <f aca="false">cleaned_data!I132</f>
        <v>93.8</v>
      </c>
      <c r="F137" s="1" t="n">
        <f aca="false">cleaned_data!G132</f>
        <v>0.144</v>
      </c>
      <c r="G137" s="1" t="n">
        <f aca="false">cleaned_data!K132</f>
        <v>1</v>
      </c>
      <c r="H137" s="1" t="n">
        <f aca="false">dummy_variables!E135</f>
        <v>0</v>
      </c>
      <c r="I137" s="1" t="n">
        <f aca="false">dummy_variables!F135</f>
        <v>0</v>
      </c>
      <c r="J137" s="1" t="n">
        <f aca="false">dummy_variables!G135</f>
        <v>0</v>
      </c>
      <c r="K137" s="1" t="n">
        <f aca="false">dummy_variables!H135</f>
        <v>0</v>
      </c>
      <c r="L137" s="1" t="n">
        <f aca="false">dummy_variables!I135</f>
        <v>0</v>
      </c>
      <c r="M137" s="1" t="n">
        <f aca="false">dummy_variables!J135</f>
        <v>0</v>
      </c>
    </row>
    <row r="138" customFormat="false" ht="15" hidden="false" customHeight="true" outlineLevel="0" collapsed="false">
      <c r="A138" s="1" t="n">
        <v>132</v>
      </c>
      <c r="B138" s="1" t="n">
        <f aca="false">cleaned_data!F133</f>
        <v>10836</v>
      </c>
      <c r="C138" s="1" t="n">
        <f aca="false">cleaned_data!E133</f>
        <v>66455.8</v>
      </c>
      <c r="D138" s="1" t="n">
        <f aca="false">cleaned_data!H133</f>
        <v>25</v>
      </c>
      <c r="E138" s="1" t="n">
        <f aca="false">cleaned_data!I133</f>
        <v>85</v>
      </c>
      <c r="F138" s="1" t="n">
        <f aca="false">cleaned_data!G133</f>
        <v>0.089</v>
      </c>
      <c r="G138" s="1" t="n">
        <f aca="false">cleaned_data!K133</f>
        <v>0</v>
      </c>
      <c r="H138" s="1" t="n">
        <f aca="false">dummy_variables!E136</f>
        <v>0</v>
      </c>
      <c r="I138" s="1" t="n">
        <f aca="false">dummy_variables!F136</f>
        <v>0</v>
      </c>
      <c r="J138" s="1" t="n">
        <f aca="false">dummy_variables!G136</f>
        <v>0</v>
      </c>
      <c r="K138" s="1" t="n">
        <f aca="false">dummy_variables!H136</f>
        <v>0</v>
      </c>
      <c r="L138" s="1" t="n">
        <f aca="false">dummy_variables!I136</f>
        <v>0</v>
      </c>
      <c r="M138" s="1" t="n">
        <f aca="false">dummy_variables!J136</f>
        <v>0</v>
      </c>
    </row>
    <row r="139" customFormat="false" ht="15" hidden="false" customHeight="true" outlineLevel="0" collapsed="false">
      <c r="A139" s="1" t="n">
        <v>133</v>
      </c>
      <c r="B139" s="1" t="n">
        <f aca="false">cleaned_data!F134</f>
        <v>3043</v>
      </c>
      <c r="C139" s="1" t="n">
        <f aca="false">cleaned_data!E134</f>
        <v>70276.28</v>
      </c>
      <c r="D139" s="1" t="n">
        <f aca="false">cleaned_data!H134</f>
        <v>9</v>
      </c>
      <c r="E139" s="1" t="n">
        <f aca="false">cleaned_data!I134</f>
        <v>87.9</v>
      </c>
      <c r="F139" s="1" t="n">
        <f aca="false">cleaned_data!G134</f>
        <v>0.079</v>
      </c>
      <c r="G139" s="1" t="n">
        <f aca="false">cleaned_data!K134</f>
        <v>0</v>
      </c>
      <c r="H139" s="1" t="n">
        <f aca="false">dummy_variables!E137</f>
        <v>0</v>
      </c>
      <c r="I139" s="1" t="n">
        <f aca="false">dummy_variables!F137</f>
        <v>0</v>
      </c>
      <c r="J139" s="1" t="n">
        <f aca="false">dummy_variables!G137</f>
        <v>0</v>
      </c>
      <c r="K139" s="1" t="n">
        <f aca="false">dummy_variables!H137</f>
        <v>1</v>
      </c>
      <c r="L139" s="1" t="n">
        <f aca="false">dummy_variables!I137</f>
        <v>0</v>
      </c>
      <c r="M139" s="1" t="n">
        <f aca="false">dummy_variables!J137</f>
        <v>0</v>
      </c>
    </row>
    <row r="140" customFormat="false" ht="15" hidden="false" customHeight="true" outlineLevel="0" collapsed="false">
      <c r="A140" s="1" t="n">
        <v>134</v>
      </c>
      <c r="B140" s="1" t="n">
        <f aca="false">cleaned_data!F135</f>
        <v>1814</v>
      </c>
      <c r="C140" s="1" t="n">
        <f aca="false">cleaned_data!E135</f>
        <v>22071.64</v>
      </c>
      <c r="D140" s="1" t="n">
        <f aca="false">cleaned_data!H135</f>
        <v>8</v>
      </c>
      <c r="E140" s="1" t="n">
        <f aca="false">cleaned_data!I135</f>
        <v>81.1</v>
      </c>
      <c r="F140" s="1" t="n">
        <f aca="false">cleaned_data!G135</f>
        <v>0.196</v>
      </c>
      <c r="G140" s="1" t="n">
        <f aca="false">cleaned_data!K135</f>
        <v>0</v>
      </c>
      <c r="H140" s="1" t="n">
        <f aca="false">dummy_variables!E138</f>
        <v>0</v>
      </c>
      <c r="I140" s="1" t="n">
        <f aca="false">dummy_variables!F138</f>
        <v>0</v>
      </c>
      <c r="J140" s="1" t="n">
        <f aca="false">dummy_variables!G138</f>
        <v>0</v>
      </c>
      <c r="K140" s="1" t="n">
        <f aca="false">dummy_variables!H138</f>
        <v>1</v>
      </c>
      <c r="L140" s="1" t="n">
        <f aca="false">dummy_variables!I138</f>
        <v>0</v>
      </c>
      <c r="M140" s="1" t="n">
        <f aca="false">dummy_variables!J138</f>
        <v>0</v>
      </c>
    </row>
    <row r="141" customFormat="false" ht="15" hidden="false" customHeight="true" outlineLevel="0" collapsed="false">
      <c r="A141" s="1" t="n">
        <v>135</v>
      </c>
      <c r="B141" s="1" t="n">
        <f aca="false">cleaned_data!F136</f>
        <v>3618</v>
      </c>
      <c r="C141" s="1" t="n">
        <f aca="false">cleaned_data!E136</f>
        <v>52285.45</v>
      </c>
      <c r="D141" s="1" t="n">
        <f aca="false">cleaned_data!H136</f>
        <v>11</v>
      </c>
      <c r="E141" s="1" t="n">
        <f aca="false">cleaned_data!I136</f>
        <v>95.6</v>
      </c>
      <c r="F141" s="1" t="n">
        <f aca="false">cleaned_data!G136</f>
        <v>0.086</v>
      </c>
      <c r="G141" s="1" t="n">
        <f aca="false">cleaned_data!K136</f>
        <v>1</v>
      </c>
      <c r="H141" s="1" t="n">
        <f aca="false">dummy_variables!E139</f>
        <v>0</v>
      </c>
      <c r="I141" s="1" t="n">
        <f aca="false">dummy_variables!F139</f>
        <v>0</v>
      </c>
      <c r="J141" s="1" t="n">
        <f aca="false">dummy_variables!G139</f>
        <v>0</v>
      </c>
      <c r="K141" s="1" t="n">
        <f aca="false">dummy_variables!H139</f>
        <v>1</v>
      </c>
      <c r="L141" s="1" t="n">
        <f aca="false">dummy_variables!I139</f>
        <v>0</v>
      </c>
      <c r="M141" s="1" t="n">
        <f aca="false">dummy_variables!J139</f>
        <v>0</v>
      </c>
    </row>
    <row r="142" customFormat="false" ht="15" hidden="false" customHeight="true" outlineLevel="0" collapsed="false">
      <c r="A142" s="1" t="n">
        <v>136</v>
      </c>
      <c r="B142" s="1" t="n">
        <f aca="false">cleaned_data!F137</f>
        <v>1963</v>
      </c>
      <c r="C142" s="1" t="n">
        <f aca="false">cleaned_data!E137</f>
        <v>70366.76</v>
      </c>
      <c r="D142" s="1" t="n">
        <f aca="false">cleaned_data!H137</f>
        <v>8</v>
      </c>
      <c r="E142" s="1" t="n">
        <f aca="false">cleaned_data!I137</f>
        <v>89.8</v>
      </c>
      <c r="F142" s="1" t="n">
        <f aca="false">cleaned_data!G137</f>
        <v>0.182</v>
      </c>
      <c r="G142" s="1" t="n">
        <f aca="false">cleaned_data!K137</f>
        <v>0</v>
      </c>
      <c r="H142" s="1" t="n">
        <f aca="false">dummy_variables!E140</f>
        <v>0</v>
      </c>
      <c r="I142" s="1" t="n">
        <f aca="false">dummy_variables!F140</f>
        <v>0</v>
      </c>
      <c r="J142" s="1" t="n">
        <f aca="false">dummy_variables!G140</f>
        <v>0</v>
      </c>
      <c r="K142" s="1" t="n">
        <f aca="false">dummy_variables!H140</f>
        <v>1</v>
      </c>
      <c r="L142" s="1" t="n">
        <f aca="false">dummy_variables!I140</f>
        <v>0</v>
      </c>
      <c r="M142" s="1" t="n">
        <f aca="false">dummy_variables!J140</f>
        <v>0</v>
      </c>
    </row>
    <row r="143" customFormat="false" ht="15" hidden="false" customHeight="true" outlineLevel="0" collapsed="false">
      <c r="A143" s="1" t="n">
        <v>137</v>
      </c>
      <c r="B143" s="1" t="n">
        <f aca="false">cleaned_data!F138</f>
        <v>7888</v>
      </c>
      <c r="C143" s="1" t="n">
        <f aca="false">cleaned_data!E138</f>
        <v>71320.66</v>
      </c>
      <c r="D143" s="1" t="n">
        <f aca="false">cleaned_data!H138</f>
        <v>20</v>
      </c>
      <c r="E143" s="1" t="n">
        <f aca="false">cleaned_data!I138</f>
        <v>78.1</v>
      </c>
      <c r="F143" s="1" t="n">
        <f aca="false">cleaned_data!G138</f>
        <v>0.048</v>
      </c>
      <c r="G143" s="1" t="n">
        <f aca="false">cleaned_data!K138</f>
        <v>0</v>
      </c>
      <c r="H143" s="1" t="n">
        <f aca="false">dummy_variables!E141</f>
        <v>0</v>
      </c>
      <c r="I143" s="1" t="n">
        <f aca="false">dummy_variables!F141</f>
        <v>1</v>
      </c>
      <c r="J143" s="1" t="n">
        <f aca="false">dummy_variables!G141</f>
        <v>0</v>
      </c>
      <c r="K143" s="1" t="n">
        <f aca="false">dummy_variables!H141</f>
        <v>0</v>
      </c>
      <c r="L143" s="1" t="n">
        <f aca="false">dummy_variables!I141</f>
        <v>1</v>
      </c>
      <c r="M143" s="1" t="n">
        <f aca="false">dummy_variables!J141</f>
        <v>0</v>
      </c>
    </row>
    <row r="144" customFormat="false" ht="15" hidden="false" customHeight="true" outlineLevel="0" collapsed="false">
      <c r="A144" s="1" t="n">
        <v>138</v>
      </c>
      <c r="B144" s="1" t="n">
        <f aca="false">cleaned_data!F139</f>
        <v>6244</v>
      </c>
      <c r="C144" s="1" t="n">
        <f aca="false">cleaned_data!E139</f>
        <v>75109.67</v>
      </c>
      <c r="D144" s="1" t="n">
        <f aca="false">cleaned_data!H139</f>
        <v>15</v>
      </c>
      <c r="E144" s="1" t="n">
        <f aca="false">cleaned_data!I139</f>
        <v>96.3</v>
      </c>
      <c r="F144" s="1" t="n">
        <f aca="false">cleaned_data!G139</f>
        <v>0.079</v>
      </c>
      <c r="G144" s="1" t="n">
        <f aca="false">cleaned_data!K139</f>
        <v>0</v>
      </c>
      <c r="H144" s="1" t="n">
        <f aca="false">dummy_variables!E142</f>
        <v>0</v>
      </c>
      <c r="I144" s="1" t="n">
        <f aca="false">dummy_variables!F142</f>
        <v>1</v>
      </c>
      <c r="J144" s="1" t="n">
        <f aca="false">dummy_variables!G142</f>
        <v>0</v>
      </c>
      <c r="K144" s="1" t="n">
        <f aca="false">dummy_variables!H142</f>
        <v>0</v>
      </c>
      <c r="L144" s="1" t="n">
        <f aca="false">dummy_variables!I142</f>
        <v>1</v>
      </c>
      <c r="M144" s="1" t="n">
        <f aca="false">dummy_variables!J142</f>
        <v>0</v>
      </c>
    </row>
    <row r="145" customFormat="false" ht="15" hidden="false" customHeight="true" outlineLevel="0" collapsed="false">
      <c r="A145" s="1" t="n">
        <v>139</v>
      </c>
      <c r="B145" s="1" t="n">
        <f aca="false">cleaned_data!F140</f>
        <v>6544</v>
      </c>
      <c r="C145" s="1" t="n">
        <f aca="false">cleaned_data!E140</f>
        <v>69779</v>
      </c>
      <c r="D145" s="1" t="n">
        <f aca="false">cleaned_data!H140</f>
        <v>18</v>
      </c>
      <c r="E145" s="1" t="n">
        <f aca="false">cleaned_data!I140</f>
        <v>90.2</v>
      </c>
      <c r="F145" s="1" t="n">
        <f aca="false">cleaned_data!G140</f>
        <v>0.152</v>
      </c>
      <c r="G145" s="1" t="n">
        <f aca="false">cleaned_data!K140</f>
        <v>1</v>
      </c>
      <c r="H145" s="1" t="n">
        <f aca="false">dummy_variables!E143</f>
        <v>0</v>
      </c>
      <c r="I145" s="1" t="n">
        <f aca="false">dummy_variables!F143</f>
        <v>1</v>
      </c>
      <c r="J145" s="1" t="n">
        <f aca="false">dummy_variables!G143</f>
        <v>0</v>
      </c>
      <c r="K145" s="1" t="n">
        <f aca="false">dummy_variables!H143</f>
        <v>0</v>
      </c>
      <c r="L145" s="1" t="n">
        <f aca="false">dummy_variables!I143</f>
        <v>1</v>
      </c>
      <c r="M145" s="1" t="n">
        <f aca="false">dummy_variables!J143</f>
        <v>0</v>
      </c>
    </row>
    <row r="146" customFormat="false" ht="15" hidden="false" customHeight="true" outlineLevel="0" collapsed="false">
      <c r="A146" s="1" t="n">
        <v>140</v>
      </c>
      <c r="B146" s="1" t="n">
        <f aca="false">cleaned_data!F141</f>
        <v>5465</v>
      </c>
      <c r="C146" s="1" t="n">
        <f aca="false">cleaned_data!E141</f>
        <v>44211.95</v>
      </c>
      <c r="D146" s="1" t="n">
        <f aca="false">cleaned_data!H141</f>
        <v>12</v>
      </c>
      <c r="E146" s="1" t="n">
        <f aca="false">cleaned_data!I141</f>
        <v>90</v>
      </c>
      <c r="F146" s="1" t="n">
        <f aca="false">cleaned_data!G141</f>
        <v>0.187</v>
      </c>
      <c r="G146" s="1" t="n">
        <f aca="false">cleaned_data!K141</f>
        <v>0</v>
      </c>
      <c r="H146" s="1" t="n">
        <f aca="false">dummy_variables!E144</f>
        <v>0</v>
      </c>
      <c r="I146" s="1" t="n">
        <f aca="false">dummy_variables!F144</f>
        <v>1</v>
      </c>
      <c r="J146" s="1" t="n">
        <f aca="false">dummy_variables!G144</f>
        <v>0</v>
      </c>
      <c r="K146" s="1" t="n">
        <f aca="false">dummy_variables!H144</f>
        <v>0</v>
      </c>
      <c r="L146" s="1" t="n">
        <f aca="false">dummy_variables!I144</f>
        <v>1</v>
      </c>
      <c r="M146" s="1" t="n">
        <f aca="false">dummy_variables!J144</f>
        <v>0</v>
      </c>
    </row>
    <row r="147" customFormat="false" ht="15" hidden="false" customHeight="true" outlineLevel="0" collapsed="false">
      <c r="A147" s="1" t="n">
        <v>141</v>
      </c>
      <c r="B147" s="1" t="n">
        <f aca="false">cleaned_data!F142</f>
        <v>6427</v>
      </c>
      <c r="C147" s="1" t="n">
        <f aca="false">cleaned_data!E142</f>
        <v>51430.31</v>
      </c>
      <c r="D147" s="1" t="n">
        <f aca="false">cleaned_data!H142</f>
        <v>14</v>
      </c>
      <c r="E147" s="1" t="n">
        <f aca="false">cleaned_data!I142</f>
        <v>88.8</v>
      </c>
      <c r="F147" s="1" t="n">
        <f aca="false">cleaned_data!G142</f>
        <v>0.234</v>
      </c>
      <c r="G147" s="1" t="n">
        <f aca="false">cleaned_data!K142</f>
        <v>0</v>
      </c>
      <c r="H147" s="1" t="n">
        <f aca="false">dummy_variables!E145</f>
        <v>0</v>
      </c>
      <c r="I147" s="1" t="n">
        <f aca="false">dummy_variables!F145</f>
        <v>0</v>
      </c>
      <c r="J147" s="1" t="n">
        <f aca="false">dummy_variables!G145</f>
        <v>0</v>
      </c>
      <c r="K147" s="1" t="n">
        <f aca="false">dummy_variables!H145</f>
        <v>0</v>
      </c>
      <c r="L147" s="1" t="n">
        <f aca="false">dummy_variables!I145</f>
        <v>0</v>
      </c>
      <c r="M147" s="1" t="n">
        <f aca="false">dummy_variables!J145</f>
        <v>1</v>
      </c>
    </row>
    <row r="148" customFormat="false" ht="15" hidden="false" customHeight="true" outlineLevel="0" collapsed="false">
      <c r="A148" s="1" t="n">
        <v>142</v>
      </c>
      <c r="B148" s="1" t="n">
        <f aca="false">cleaned_data!F143</f>
        <v>6704</v>
      </c>
      <c r="C148" s="1" t="n">
        <f aca="false">cleaned_data!E143</f>
        <v>45706.49</v>
      </c>
      <c r="D148" s="1" t="n">
        <f aca="false">cleaned_data!H143</f>
        <v>15</v>
      </c>
      <c r="E148" s="1" t="n">
        <f aca="false">cleaned_data!I143</f>
        <v>94.2</v>
      </c>
      <c r="F148" s="1" t="n">
        <f aca="false">cleaned_data!G143</f>
        <v>0.038</v>
      </c>
      <c r="G148" s="1" t="n">
        <f aca="false">cleaned_data!K143</f>
        <v>0</v>
      </c>
      <c r="H148" s="1" t="n">
        <f aca="false">dummy_variables!E146</f>
        <v>0</v>
      </c>
      <c r="I148" s="1" t="n">
        <f aca="false">dummy_variables!F146</f>
        <v>0</v>
      </c>
      <c r="J148" s="1" t="n">
        <f aca="false">dummy_variables!G146</f>
        <v>0</v>
      </c>
      <c r="K148" s="1" t="n">
        <f aca="false">dummy_variables!H146</f>
        <v>0</v>
      </c>
      <c r="L148" s="1" t="n">
        <f aca="false">dummy_variables!I146</f>
        <v>0</v>
      </c>
      <c r="M148" s="1" t="n">
        <f aca="false">dummy_variables!J146</f>
        <v>1</v>
      </c>
    </row>
    <row r="149" customFormat="false" ht="15" hidden="false" customHeight="true" outlineLevel="0" collapsed="false">
      <c r="A149" s="1" t="n">
        <v>143</v>
      </c>
      <c r="B149" s="1" t="n">
        <f aca="false">cleaned_data!F144</f>
        <v>5645</v>
      </c>
      <c r="C149" s="1" t="n">
        <f aca="false">cleaned_data!E144</f>
        <v>44034.6</v>
      </c>
      <c r="D149" s="1" t="n">
        <f aca="false">cleaned_data!H144</f>
        <v>18</v>
      </c>
      <c r="E149" s="1" t="n">
        <f aca="false">cleaned_data!I144</f>
        <v>88.5</v>
      </c>
      <c r="F149" s="1" t="n">
        <f aca="false">cleaned_data!G144</f>
        <v>0.069</v>
      </c>
      <c r="G149" s="1" t="n">
        <f aca="false">cleaned_data!K144</f>
        <v>0</v>
      </c>
      <c r="H149" s="1" t="n">
        <f aca="false">dummy_variables!E147</f>
        <v>0</v>
      </c>
      <c r="I149" s="1" t="n">
        <f aca="false">dummy_variables!F147</f>
        <v>0</v>
      </c>
      <c r="J149" s="1" t="n">
        <f aca="false">dummy_variables!G147</f>
        <v>0</v>
      </c>
      <c r="K149" s="1" t="n">
        <f aca="false">dummy_variables!H147</f>
        <v>0</v>
      </c>
      <c r="L149" s="1" t="n">
        <f aca="false">dummy_variables!I147</f>
        <v>0</v>
      </c>
      <c r="M149" s="1" t="n">
        <f aca="false">dummy_variables!J147</f>
        <v>1</v>
      </c>
    </row>
    <row r="150" customFormat="false" ht="15" hidden="false" customHeight="true" outlineLevel="0" collapsed="false">
      <c r="A150" s="1" t="n">
        <v>144</v>
      </c>
      <c r="B150" s="1" t="n">
        <f aca="false">cleaned_data!F145</f>
        <v>6089</v>
      </c>
      <c r="C150" s="1" t="n">
        <f aca="false">cleaned_data!E145</f>
        <v>50198.12</v>
      </c>
      <c r="D150" s="1" t="n">
        <f aca="false">cleaned_data!H145</f>
        <v>19</v>
      </c>
      <c r="E150" s="1" t="n">
        <f aca="false">cleaned_data!I145</f>
        <v>94</v>
      </c>
      <c r="F150" s="1" t="n">
        <f aca="false">cleaned_data!G145</f>
        <v>0.182</v>
      </c>
      <c r="G150" s="1" t="n">
        <f aca="false">cleaned_data!K145</f>
        <v>0</v>
      </c>
      <c r="H150" s="1" t="n">
        <f aca="false">dummy_variables!E148</f>
        <v>0</v>
      </c>
      <c r="I150" s="1" t="n">
        <f aca="false">dummy_variables!F148</f>
        <v>0</v>
      </c>
      <c r="J150" s="1" t="n">
        <f aca="false">dummy_variables!G148</f>
        <v>0</v>
      </c>
      <c r="K150" s="1" t="n">
        <f aca="false">dummy_variables!H148</f>
        <v>0</v>
      </c>
      <c r="L150" s="1" t="n">
        <f aca="false">dummy_variables!I148</f>
        <v>0</v>
      </c>
      <c r="M150" s="1" t="n">
        <f aca="false">dummy_variables!J148</f>
        <v>1</v>
      </c>
    </row>
    <row r="151" customFormat="false" ht="15" hidden="false" customHeight="true" outlineLevel="0" collapsed="false">
      <c r="A151" s="1" t="n">
        <v>145</v>
      </c>
      <c r="B151" s="1" t="n">
        <f aca="false">cleaned_data!F146</f>
        <v>4312</v>
      </c>
      <c r="C151" s="1" t="n">
        <f aca="false">cleaned_data!E146</f>
        <v>70488.2</v>
      </c>
      <c r="D151" s="1" t="n">
        <f aca="false">cleaned_data!H146</f>
        <v>12</v>
      </c>
      <c r="E151" s="1" t="n">
        <f aca="false">cleaned_data!I146</f>
        <v>90.2</v>
      </c>
      <c r="F151" s="1" t="n">
        <f aca="false">cleaned_data!G146</f>
        <v>0.169</v>
      </c>
      <c r="G151" s="1" t="n">
        <f aca="false">cleaned_data!K146</f>
        <v>0</v>
      </c>
      <c r="H151" s="1" t="n">
        <f aca="false">dummy_variables!E149</f>
        <v>0</v>
      </c>
      <c r="I151" s="1" t="n">
        <f aca="false">dummy_variables!F149</f>
        <v>1</v>
      </c>
      <c r="J151" s="1" t="n">
        <f aca="false">dummy_variables!G149</f>
        <v>0</v>
      </c>
      <c r="K151" s="1" t="n">
        <f aca="false">dummy_variables!H149</f>
        <v>1</v>
      </c>
      <c r="L151" s="1" t="n">
        <f aca="false">dummy_variables!I149</f>
        <v>0</v>
      </c>
      <c r="M151" s="1" t="n">
        <f aca="false">dummy_variables!J149</f>
        <v>0</v>
      </c>
    </row>
    <row r="152" customFormat="false" ht="15" hidden="false" customHeight="true" outlineLevel="0" collapsed="false">
      <c r="A152" s="1" t="n">
        <v>146</v>
      </c>
      <c r="B152" s="1" t="n">
        <f aca="false">cleaned_data!F147</f>
        <v>3152</v>
      </c>
      <c r="C152" s="1" t="n">
        <f aca="false">cleaned_data!E147</f>
        <v>50909.27</v>
      </c>
      <c r="D152" s="1" t="n">
        <f aca="false">cleaned_data!H147</f>
        <v>13</v>
      </c>
      <c r="E152" s="1" t="n">
        <f aca="false">cleaned_data!I147</f>
        <v>93.7</v>
      </c>
      <c r="F152" s="1" t="n">
        <f aca="false">cleaned_data!G147</f>
        <v>0.06</v>
      </c>
      <c r="G152" s="1" t="n">
        <f aca="false">cleaned_data!K147</f>
        <v>0</v>
      </c>
      <c r="H152" s="1" t="n">
        <f aca="false">dummy_variables!E150</f>
        <v>0</v>
      </c>
      <c r="I152" s="1" t="n">
        <f aca="false">dummy_variables!F150</f>
        <v>1</v>
      </c>
      <c r="J152" s="1" t="n">
        <f aca="false">dummy_variables!G150</f>
        <v>0</v>
      </c>
      <c r="K152" s="1" t="n">
        <f aca="false">dummy_variables!H150</f>
        <v>1</v>
      </c>
      <c r="L152" s="1" t="n">
        <f aca="false">dummy_variables!I150</f>
        <v>0</v>
      </c>
      <c r="M152" s="1" t="n">
        <f aca="false">dummy_variables!J150</f>
        <v>0</v>
      </c>
    </row>
    <row r="153" customFormat="false" ht="15" hidden="false" customHeight="true" outlineLevel="0" collapsed="false">
      <c r="A153" s="1" t="n">
        <v>147</v>
      </c>
      <c r="B153" s="1" t="n">
        <f aca="false">cleaned_data!F148</f>
        <v>4259</v>
      </c>
      <c r="C153" s="1" t="n">
        <f aca="false">cleaned_data!E148</f>
        <v>53351.7</v>
      </c>
      <c r="D153" s="1" t="n">
        <f aca="false">cleaned_data!H148</f>
        <v>15</v>
      </c>
      <c r="E153" s="1" t="n">
        <f aca="false">cleaned_data!I148</f>
        <v>93.7</v>
      </c>
      <c r="F153" s="1" t="n">
        <f aca="false">cleaned_data!G148</f>
        <v>0.156</v>
      </c>
      <c r="G153" s="1" t="n">
        <f aca="false">cleaned_data!K148</f>
        <v>0</v>
      </c>
      <c r="H153" s="1" t="n">
        <f aca="false">dummy_variables!E151</f>
        <v>0</v>
      </c>
      <c r="I153" s="1" t="n">
        <f aca="false">dummy_variables!F151</f>
        <v>1</v>
      </c>
      <c r="J153" s="1" t="n">
        <f aca="false">dummy_variables!G151</f>
        <v>0</v>
      </c>
      <c r="K153" s="1" t="n">
        <f aca="false">dummy_variables!H151</f>
        <v>1</v>
      </c>
      <c r="L153" s="1" t="n">
        <f aca="false">dummy_variables!I151</f>
        <v>0</v>
      </c>
      <c r="M153" s="1" t="n">
        <f aca="false">dummy_variables!J151</f>
        <v>0</v>
      </c>
    </row>
    <row r="154" customFormat="false" ht="15" hidden="false" customHeight="true" outlineLevel="0" collapsed="false">
      <c r="A154" s="1" t="n">
        <v>148</v>
      </c>
      <c r="B154" s="1" t="n">
        <f aca="false">cleaned_data!F149</f>
        <v>3350</v>
      </c>
      <c r="C154" s="1" t="n">
        <f aca="false">cleaned_data!E149</f>
        <v>60322.4</v>
      </c>
      <c r="D154" s="1" t="n">
        <f aca="false">cleaned_data!H149</f>
        <v>12</v>
      </c>
      <c r="E154" s="1" t="n">
        <f aca="false">cleaned_data!I149</f>
        <v>89.4</v>
      </c>
      <c r="F154" s="1" t="n">
        <f aca="false">cleaned_data!G149</f>
        <v>0.108</v>
      </c>
      <c r="G154" s="1" t="n">
        <f aca="false">cleaned_data!K149</f>
        <v>0</v>
      </c>
      <c r="H154" s="1" t="n">
        <f aca="false">dummy_variables!E152</f>
        <v>0</v>
      </c>
      <c r="I154" s="1" t="n">
        <f aca="false">dummy_variables!F152</f>
        <v>1</v>
      </c>
      <c r="J154" s="1" t="n">
        <f aca="false">dummy_variables!G152</f>
        <v>0</v>
      </c>
      <c r="K154" s="1" t="n">
        <f aca="false">dummy_variables!H152</f>
        <v>1</v>
      </c>
      <c r="L154" s="1" t="n">
        <f aca="false">dummy_variables!I152</f>
        <v>0</v>
      </c>
      <c r="M154" s="1" t="n">
        <f aca="false">dummy_variables!J152</f>
        <v>0</v>
      </c>
    </row>
    <row r="155" customFormat="false" ht="15" hidden="false" customHeight="true" outlineLevel="0" collapsed="false">
      <c r="A155" s="1" t="n">
        <v>149</v>
      </c>
      <c r="B155" s="1" t="n">
        <f aca="false">cleaned_data!F150</f>
        <v>5329</v>
      </c>
      <c r="C155" s="1" t="n">
        <f aca="false">cleaned_data!E150</f>
        <v>51575.68</v>
      </c>
      <c r="D155" s="1" t="n">
        <f aca="false">cleaned_data!H150</f>
        <v>17</v>
      </c>
      <c r="E155" s="1" t="n">
        <f aca="false">cleaned_data!I150</f>
        <v>88.1</v>
      </c>
      <c r="F155" s="1" t="n">
        <f aca="false">cleaned_data!G150</f>
        <v>0.047</v>
      </c>
      <c r="G155" s="1" t="n">
        <f aca="false">cleaned_data!K150</f>
        <v>0</v>
      </c>
      <c r="H155" s="1" t="n">
        <f aca="false">dummy_variables!E153</f>
        <v>1</v>
      </c>
      <c r="I155" s="1" t="n">
        <f aca="false">dummy_variables!F153</f>
        <v>0</v>
      </c>
      <c r="J155" s="1" t="n">
        <f aca="false">dummy_variables!G153</f>
        <v>0</v>
      </c>
      <c r="K155" s="1" t="n">
        <f aca="false">dummy_variables!H153</f>
        <v>0</v>
      </c>
      <c r="L155" s="1" t="n">
        <f aca="false">dummy_variables!I153</f>
        <v>1</v>
      </c>
      <c r="M155" s="1" t="n">
        <f aca="false">dummy_variables!J153</f>
        <v>0</v>
      </c>
    </row>
    <row r="156" customFormat="false" ht="15" hidden="false" customHeight="true" outlineLevel="0" collapsed="false">
      <c r="A156" s="1" t="n">
        <v>150</v>
      </c>
      <c r="B156" s="1" t="n">
        <f aca="false">cleaned_data!F151</f>
        <v>6551</v>
      </c>
      <c r="C156" s="1" t="n">
        <f aca="false">cleaned_data!E151</f>
        <v>43319.94</v>
      </c>
      <c r="D156" s="1" t="n">
        <f aca="false">cleaned_data!H151</f>
        <v>13</v>
      </c>
      <c r="E156" s="1" t="n">
        <f aca="false">cleaned_data!I151</f>
        <v>99</v>
      </c>
      <c r="F156" s="1" t="n">
        <f aca="false">cleaned_data!G151</f>
        <v>0.044</v>
      </c>
      <c r="G156" s="1" t="n">
        <f aca="false">cleaned_data!K151</f>
        <v>0</v>
      </c>
      <c r="H156" s="1" t="n">
        <f aca="false">dummy_variables!E154</f>
        <v>1</v>
      </c>
      <c r="I156" s="1" t="n">
        <f aca="false">dummy_variables!F154</f>
        <v>0</v>
      </c>
      <c r="J156" s="1" t="n">
        <f aca="false">dummy_variables!G154</f>
        <v>0</v>
      </c>
      <c r="K156" s="1" t="n">
        <f aca="false">dummy_variables!H154</f>
        <v>0</v>
      </c>
      <c r="L156" s="1" t="n">
        <f aca="false">dummy_variables!I154</f>
        <v>1</v>
      </c>
      <c r="M156" s="1" t="n">
        <f aca="false">dummy_variables!J154</f>
        <v>0</v>
      </c>
    </row>
    <row r="157" customFormat="false" ht="15" hidden="false" customHeight="true" outlineLevel="0" collapsed="false">
      <c r="A157" s="1" t="n">
        <v>151</v>
      </c>
      <c r="B157" s="1" t="n">
        <f aca="false">cleaned_data!F152</f>
        <v>5550</v>
      </c>
      <c r="C157" s="1" t="n">
        <f aca="false">cleaned_data!E152</f>
        <v>47093.55</v>
      </c>
      <c r="D157" s="1" t="n">
        <f aca="false">cleaned_data!H152</f>
        <v>12</v>
      </c>
      <c r="E157" s="1" t="n">
        <f aca="false">cleaned_data!I152</f>
        <v>95</v>
      </c>
      <c r="F157" s="1" t="n">
        <f aca="false">cleaned_data!G152</f>
        <v>0.1</v>
      </c>
      <c r="G157" s="1" t="n">
        <f aca="false">cleaned_data!K152</f>
        <v>1</v>
      </c>
      <c r="H157" s="1" t="n">
        <f aca="false">dummy_variables!E155</f>
        <v>1</v>
      </c>
      <c r="I157" s="1" t="n">
        <f aca="false">dummy_variables!F155</f>
        <v>0</v>
      </c>
      <c r="J157" s="1" t="n">
        <f aca="false">dummy_variables!G155</f>
        <v>0</v>
      </c>
      <c r="K157" s="1" t="n">
        <f aca="false">dummy_variables!H155</f>
        <v>0</v>
      </c>
      <c r="L157" s="1" t="n">
        <f aca="false">dummy_variables!I155</f>
        <v>1</v>
      </c>
      <c r="M157" s="1" t="n">
        <f aca="false">dummy_variables!J155</f>
        <v>0</v>
      </c>
    </row>
    <row r="158" customFormat="false" ht="15" hidden="false" customHeight="true" outlineLevel="0" collapsed="false">
      <c r="A158" s="1" t="n">
        <v>152</v>
      </c>
      <c r="B158" s="1" t="n">
        <f aca="false">cleaned_data!F153</f>
        <v>5911</v>
      </c>
      <c r="C158" s="1" t="n">
        <f aca="false">cleaned_data!E153</f>
        <v>71855.09</v>
      </c>
      <c r="D158" s="1" t="n">
        <f aca="false">cleaned_data!H153</f>
        <v>15</v>
      </c>
      <c r="E158" s="1" t="n">
        <f aca="false">cleaned_data!I153</f>
        <v>94.3</v>
      </c>
      <c r="F158" s="1" t="n">
        <f aca="false">cleaned_data!G153</f>
        <v>0.197</v>
      </c>
      <c r="G158" s="1" t="n">
        <f aca="false">cleaned_data!K153</f>
        <v>0</v>
      </c>
      <c r="H158" s="1" t="n">
        <f aca="false">dummy_variables!E156</f>
        <v>1</v>
      </c>
      <c r="I158" s="1" t="n">
        <f aca="false">dummy_variables!F156</f>
        <v>0</v>
      </c>
      <c r="J158" s="1" t="n">
        <f aca="false">dummy_variables!G156</f>
        <v>0</v>
      </c>
      <c r="K158" s="1" t="n">
        <f aca="false">dummy_variables!H156</f>
        <v>0</v>
      </c>
      <c r="L158" s="1" t="n">
        <f aca="false">dummy_variables!I156</f>
        <v>1</v>
      </c>
      <c r="M158" s="1" t="n">
        <f aca="false">dummy_variables!J156</f>
        <v>0</v>
      </c>
    </row>
    <row r="159" customFormat="false" ht="15" hidden="false" customHeight="true" outlineLevel="0" collapsed="false">
      <c r="A159" s="1" t="n">
        <v>153</v>
      </c>
      <c r="B159" s="1" t="n">
        <f aca="false">cleaned_data!F154</f>
        <v>9674</v>
      </c>
      <c r="C159" s="1" t="n">
        <f aca="false">cleaned_data!E154</f>
        <v>75645.23</v>
      </c>
      <c r="D159" s="1" t="n">
        <f aca="false">cleaned_data!H154</f>
        <v>21</v>
      </c>
      <c r="E159" s="1" t="n">
        <f aca="false">cleaned_data!I154</f>
        <v>87.4</v>
      </c>
      <c r="F159" s="1" t="n">
        <f aca="false">cleaned_data!G154</f>
        <v>0.234</v>
      </c>
      <c r="G159" s="1" t="n">
        <f aca="false">cleaned_data!K154</f>
        <v>0</v>
      </c>
      <c r="H159" s="1" t="n">
        <f aca="false">dummy_variables!E157</f>
        <v>0</v>
      </c>
      <c r="I159" s="1" t="n">
        <f aca="false">dummy_variables!F157</f>
        <v>0</v>
      </c>
      <c r="J159" s="1" t="n">
        <f aca="false">dummy_variables!G157</f>
        <v>0</v>
      </c>
      <c r="K159" s="1" t="n">
        <f aca="false">dummy_variables!H157</f>
        <v>0</v>
      </c>
      <c r="L159" s="1" t="n">
        <f aca="false">dummy_variables!I157</f>
        <v>0</v>
      </c>
      <c r="M159" s="1" t="n">
        <f aca="false">dummy_variables!J157</f>
        <v>0</v>
      </c>
    </row>
    <row r="160" customFormat="false" ht="15" hidden="false" customHeight="true" outlineLevel="0" collapsed="false">
      <c r="A160" s="1" t="n">
        <v>154</v>
      </c>
      <c r="B160" s="1" t="n">
        <f aca="false">cleaned_data!F155</f>
        <v>6740</v>
      </c>
      <c r="C160" s="1" t="n">
        <f aca="false">cleaned_data!E155</f>
        <v>64374.75</v>
      </c>
      <c r="D160" s="1" t="n">
        <f aca="false">cleaned_data!H155</f>
        <v>18</v>
      </c>
      <c r="E160" s="1" t="n">
        <f aca="false">cleaned_data!I155</f>
        <v>87</v>
      </c>
      <c r="F160" s="1" t="n">
        <f aca="false">cleaned_data!G155</f>
        <v>0.169</v>
      </c>
      <c r="G160" s="1" t="n">
        <f aca="false">cleaned_data!K155</f>
        <v>0</v>
      </c>
      <c r="H160" s="1" t="n">
        <f aca="false">dummy_variables!E158</f>
        <v>0</v>
      </c>
      <c r="I160" s="1" t="n">
        <f aca="false">dummy_variables!F158</f>
        <v>0</v>
      </c>
      <c r="J160" s="1" t="n">
        <f aca="false">dummy_variables!G158</f>
        <v>0</v>
      </c>
      <c r="K160" s="1" t="n">
        <f aca="false">dummy_variables!H158</f>
        <v>0</v>
      </c>
      <c r="L160" s="1" t="n">
        <f aca="false">dummy_variables!I158</f>
        <v>0</v>
      </c>
      <c r="M160" s="1" t="n">
        <f aca="false">dummy_variables!J158</f>
        <v>0</v>
      </c>
    </row>
    <row r="161" customFormat="false" ht="15" hidden="false" customHeight="true" outlineLevel="0" collapsed="false">
      <c r="A161" s="1" t="n">
        <v>155</v>
      </c>
      <c r="B161" s="1" t="n">
        <f aca="false">cleaned_data!F156</f>
        <v>7745</v>
      </c>
      <c r="C161" s="1" t="n">
        <f aca="false">cleaned_data!E156</f>
        <v>61433.84</v>
      </c>
      <c r="D161" s="1" t="n">
        <f aca="false">cleaned_data!H156</f>
        <v>16</v>
      </c>
      <c r="E161" s="1" t="n">
        <f aca="false">cleaned_data!I156</f>
        <v>90.5</v>
      </c>
      <c r="F161" s="1" t="n">
        <f aca="false">cleaned_data!G156</f>
        <v>0.18</v>
      </c>
      <c r="G161" s="1" t="n">
        <f aca="false">cleaned_data!K156</f>
        <v>0</v>
      </c>
      <c r="H161" s="1" t="n">
        <f aca="false">dummy_variables!E159</f>
        <v>0</v>
      </c>
      <c r="I161" s="1" t="n">
        <f aca="false">dummy_variables!F159</f>
        <v>0</v>
      </c>
      <c r="J161" s="1" t="n">
        <f aca="false">dummy_variables!G159</f>
        <v>0</v>
      </c>
      <c r="K161" s="1" t="n">
        <f aca="false">dummy_variables!H159</f>
        <v>0</v>
      </c>
      <c r="L161" s="1" t="n">
        <f aca="false">dummy_variables!I159</f>
        <v>0</v>
      </c>
      <c r="M161" s="1" t="n">
        <f aca="false">dummy_variables!J159</f>
        <v>0</v>
      </c>
    </row>
    <row r="162" customFormat="false" ht="15" hidden="false" customHeight="true" outlineLevel="0" collapsed="false">
      <c r="A162" s="1" t="n">
        <v>156</v>
      </c>
      <c r="B162" s="1" t="n">
        <f aca="false">cleaned_data!F157</f>
        <v>7693</v>
      </c>
      <c r="C162" s="1" t="n">
        <f aca="false">cleaned_data!E157</f>
        <v>42698.14</v>
      </c>
      <c r="D162" s="1" t="n">
        <f aca="false">cleaned_data!H157</f>
        <v>19</v>
      </c>
      <c r="E162" s="1" t="n">
        <f aca="false">cleaned_data!I157</f>
        <v>90.1</v>
      </c>
      <c r="F162" s="1" t="n">
        <f aca="false">cleaned_data!G157</f>
        <v>0.187</v>
      </c>
      <c r="G162" s="1" t="n">
        <f aca="false">cleaned_data!K157</f>
        <v>0</v>
      </c>
      <c r="H162" s="1" t="n">
        <f aca="false">dummy_variables!E160</f>
        <v>0</v>
      </c>
      <c r="I162" s="1" t="n">
        <f aca="false">dummy_variables!F160</f>
        <v>0</v>
      </c>
      <c r="J162" s="1" t="n">
        <f aca="false">dummy_variables!G160</f>
        <v>0</v>
      </c>
      <c r="K162" s="1" t="n">
        <f aca="false">dummy_variables!H160</f>
        <v>0</v>
      </c>
      <c r="L162" s="1" t="n">
        <f aca="false">dummy_variables!I160</f>
        <v>0</v>
      </c>
      <c r="M162" s="1" t="n">
        <f aca="false">dummy_variables!J160</f>
        <v>0</v>
      </c>
    </row>
    <row r="163" customFormat="false" ht="15" hidden="false" customHeight="true" outlineLevel="0" collapsed="false">
      <c r="A163" s="1" t="n">
        <v>157</v>
      </c>
      <c r="B163" s="1" t="n">
        <f aca="false">cleaned_data!F158</f>
        <v>6424</v>
      </c>
      <c r="C163" s="1" t="n">
        <f aca="false">cleaned_data!E158</f>
        <v>86883.31</v>
      </c>
      <c r="D163" s="1" t="n">
        <f aca="false">cleaned_data!H158</f>
        <v>19</v>
      </c>
      <c r="E163" s="1" t="n">
        <f aca="false">cleaned_data!I158</f>
        <v>85.2</v>
      </c>
      <c r="F163" s="1" t="n">
        <f aca="false">cleaned_data!G158</f>
        <v>0.057</v>
      </c>
      <c r="G163" s="1" t="n">
        <f aca="false">cleaned_data!K158</f>
        <v>0</v>
      </c>
      <c r="H163" s="1" t="n">
        <f aca="false">dummy_variables!E161</f>
        <v>1</v>
      </c>
      <c r="I163" s="1" t="n">
        <f aca="false">dummy_variables!F161</f>
        <v>0</v>
      </c>
      <c r="J163" s="1" t="n">
        <f aca="false">dummy_variables!G161</f>
        <v>0</v>
      </c>
      <c r="K163" s="1" t="n">
        <f aca="false">dummy_variables!H161</f>
        <v>1</v>
      </c>
      <c r="L163" s="1" t="n">
        <f aca="false">dummy_variables!I161</f>
        <v>0</v>
      </c>
      <c r="M163" s="1" t="n">
        <f aca="false">dummy_variables!J161</f>
        <v>0</v>
      </c>
    </row>
    <row r="164" customFormat="false" ht="15" hidden="false" customHeight="true" outlineLevel="0" collapsed="false">
      <c r="A164" s="1" t="n">
        <v>158</v>
      </c>
      <c r="B164" s="1" t="n">
        <f aca="false">cleaned_data!F159</f>
        <v>5400</v>
      </c>
      <c r="C164" s="1" t="n">
        <f aca="false">cleaned_data!E159</f>
        <v>41863.08</v>
      </c>
      <c r="D164" s="1" t="n">
        <f aca="false">cleaned_data!H159</f>
        <v>11</v>
      </c>
      <c r="E164" s="1" t="n">
        <f aca="false">cleaned_data!I159</f>
        <v>91.6</v>
      </c>
      <c r="F164" s="1" t="n">
        <f aca="false">cleaned_data!G159</f>
        <v>0.114</v>
      </c>
      <c r="G164" s="1" t="n">
        <f aca="false">cleaned_data!K159</f>
        <v>0</v>
      </c>
      <c r="H164" s="1" t="n">
        <f aca="false">dummy_variables!E162</f>
        <v>1</v>
      </c>
      <c r="I164" s="1" t="n">
        <f aca="false">dummy_variables!F162</f>
        <v>0</v>
      </c>
      <c r="J164" s="1" t="n">
        <f aca="false">dummy_variables!G162</f>
        <v>0</v>
      </c>
      <c r="K164" s="1" t="n">
        <f aca="false">dummy_variables!H162</f>
        <v>1</v>
      </c>
      <c r="L164" s="1" t="n">
        <f aca="false">dummy_variables!I162</f>
        <v>0</v>
      </c>
      <c r="M164" s="1" t="n">
        <f aca="false">dummy_variables!J162</f>
        <v>0</v>
      </c>
    </row>
    <row r="165" customFormat="false" ht="15" hidden="false" customHeight="true" outlineLevel="0" collapsed="false">
      <c r="A165" s="1" t="n">
        <v>159</v>
      </c>
      <c r="B165" s="1" t="n">
        <f aca="false">cleaned_data!F160</f>
        <v>7015</v>
      </c>
      <c r="C165" s="1" t="n">
        <f aca="false">cleaned_data!E160</f>
        <v>56918.16</v>
      </c>
      <c r="D165" s="1" t="n">
        <f aca="false">cleaned_data!H160</f>
        <v>18</v>
      </c>
      <c r="E165" s="1" t="n">
        <f aca="false">cleaned_data!I160</f>
        <v>74.2</v>
      </c>
      <c r="F165" s="1" t="n">
        <f aca="false">cleaned_data!G160</f>
        <v>0.158</v>
      </c>
      <c r="G165" s="1" t="n">
        <f aca="false">cleaned_data!K160</f>
        <v>0</v>
      </c>
      <c r="H165" s="1" t="n">
        <f aca="false">dummy_variables!E163</f>
        <v>1</v>
      </c>
      <c r="I165" s="1" t="n">
        <f aca="false">dummy_variables!F163</f>
        <v>0</v>
      </c>
      <c r="J165" s="1" t="n">
        <f aca="false">dummy_variables!G163</f>
        <v>0</v>
      </c>
      <c r="K165" s="1" t="n">
        <f aca="false">dummy_variables!H163</f>
        <v>1</v>
      </c>
      <c r="L165" s="1" t="n">
        <f aca="false">dummy_variables!I163</f>
        <v>0</v>
      </c>
      <c r="M165" s="1" t="n">
        <f aca="false">dummy_variables!J163</f>
        <v>0</v>
      </c>
    </row>
    <row r="166" customFormat="false" ht="15" hidden="false" customHeight="true" outlineLevel="0" collapsed="false">
      <c r="A166" s="1" t="n">
        <v>160</v>
      </c>
      <c r="B166" s="1" t="n">
        <f aca="false">cleaned_data!F161</f>
        <v>3847</v>
      </c>
      <c r="C166" s="1" t="n">
        <f aca="false">cleaned_data!E161</f>
        <v>23254.57</v>
      </c>
      <c r="D166" s="1" t="n">
        <f aca="false">cleaned_data!H161</f>
        <v>12</v>
      </c>
      <c r="E166" s="1" t="n">
        <f aca="false">cleaned_data!I161</f>
        <v>93</v>
      </c>
      <c r="F166" s="1" t="n">
        <f aca="false">cleaned_data!G161</f>
        <v>0.159</v>
      </c>
      <c r="G166" s="1" t="n">
        <f aca="false">cleaned_data!K161</f>
        <v>0</v>
      </c>
      <c r="H166" s="1" t="n">
        <f aca="false">dummy_variables!E164</f>
        <v>1</v>
      </c>
      <c r="I166" s="1" t="n">
        <f aca="false">dummy_variables!F164</f>
        <v>0</v>
      </c>
      <c r="J166" s="1" t="n">
        <f aca="false">dummy_variables!G164</f>
        <v>0</v>
      </c>
      <c r="K166" s="1" t="n">
        <f aca="false">dummy_variables!H164</f>
        <v>1</v>
      </c>
      <c r="L166" s="1" t="n">
        <f aca="false">dummy_variables!I164</f>
        <v>0</v>
      </c>
      <c r="M166" s="1" t="n">
        <f aca="false">dummy_variables!J164</f>
        <v>0</v>
      </c>
    </row>
    <row r="167" customFormat="false" ht="15" hidden="false" customHeight="true" outlineLevel="0" collapsed="false">
      <c r="A167" s="1" t="n">
        <v>161</v>
      </c>
      <c r="B167" s="1" t="n">
        <f aca="false">cleaned_data!F162</f>
        <v>7455</v>
      </c>
      <c r="C167" s="1" t="n">
        <f aca="false">cleaned_data!E162</f>
        <v>41443.41</v>
      </c>
      <c r="D167" s="1" t="n">
        <f aca="false">cleaned_data!H162</f>
        <v>16</v>
      </c>
      <c r="E167" s="1" t="n">
        <f aca="false">cleaned_data!I162</f>
        <v>90.1</v>
      </c>
      <c r="F167" s="1" t="n">
        <f aca="false">cleaned_data!G162</f>
        <v>0.175</v>
      </c>
      <c r="G167" s="1" t="n">
        <f aca="false">cleaned_data!K162</f>
        <v>0</v>
      </c>
      <c r="H167" s="1" t="n">
        <f aca="false">dummy_variables!E165</f>
        <v>0</v>
      </c>
      <c r="I167" s="1" t="n">
        <f aca="false">dummy_variables!F165</f>
        <v>0</v>
      </c>
      <c r="J167" s="1" t="n">
        <f aca="false">dummy_variables!G165</f>
        <v>0</v>
      </c>
      <c r="K167" s="1" t="n">
        <f aca="false">dummy_variables!H165</f>
        <v>0</v>
      </c>
      <c r="L167" s="1" t="n">
        <f aca="false">dummy_variables!I165</f>
        <v>1</v>
      </c>
      <c r="M167" s="1" t="n">
        <f aca="false">dummy_variables!J165</f>
        <v>0</v>
      </c>
    </row>
    <row r="168" customFormat="false" ht="15" hidden="false" customHeight="true" outlineLevel="0" collapsed="false">
      <c r="A168" s="1" t="n">
        <v>162</v>
      </c>
      <c r="B168" s="1" t="n">
        <f aca="false">cleaned_data!F163</f>
        <v>6992</v>
      </c>
      <c r="C168" s="1" t="n">
        <f aca="false">cleaned_data!E163</f>
        <v>48438.85</v>
      </c>
      <c r="D168" s="1" t="n">
        <f aca="false">cleaned_data!H163</f>
        <v>20</v>
      </c>
      <c r="E168" s="1" t="n">
        <f aca="false">cleaned_data!I163</f>
        <v>91</v>
      </c>
      <c r="F168" s="1" t="n">
        <f aca="false">cleaned_data!G163</f>
        <v>0.034</v>
      </c>
      <c r="G168" s="1" t="n">
        <f aca="false">cleaned_data!K163</f>
        <v>0</v>
      </c>
      <c r="H168" s="1" t="n">
        <f aca="false">dummy_variables!E166</f>
        <v>0</v>
      </c>
      <c r="I168" s="1" t="n">
        <f aca="false">dummy_variables!F166</f>
        <v>0</v>
      </c>
      <c r="J168" s="1" t="n">
        <f aca="false">dummy_variables!G166</f>
        <v>0</v>
      </c>
      <c r="K168" s="1" t="n">
        <f aca="false">dummy_variables!H166</f>
        <v>0</v>
      </c>
      <c r="L168" s="1" t="n">
        <f aca="false">dummy_variables!I166</f>
        <v>1</v>
      </c>
      <c r="M168" s="1" t="n">
        <f aca="false">dummy_variables!J166</f>
        <v>0</v>
      </c>
    </row>
    <row r="169" customFormat="false" ht="15" hidden="false" customHeight="true" outlineLevel="0" collapsed="false">
      <c r="A169" s="1" t="n">
        <v>163</v>
      </c>
      <c r="B169" s="1" t="n">
        <f aca="false">cleaned_data!F164</f>
        <v>8038</v>
      </c>
      <c r="C169" s="1" t="n">
        <f aca="false">cleaned_data!E164</f>
        <v>57143.3</v>
      </c>
      <c r="D169" s="1" t="n">
        <f aca="false">cleaned_data!H164</f>
        <v>17</v>
      </c>
      <c r="E169" s="1" t="n">
        <f aca="false">cleaned_data!I164</f>
        <v>72.6</v>
      </c>
      <c r="F169" s="1" t="n">
        <f aca="false">cleaned_data!G164</f>
        <v>0.193</v>
      </c>
      <c r="G169" s="1" t="n">
        <f aca="false">cleaned_data!K164</f>
        <v>0</v>
      </c>
      <c r="H169" s="1" t="n">
        <f aca="false">dummy_variables!E167</f>
        <v>0</v>
      </c>
      <c r="I169" s="1" t="n">
        <f aca="false">dummy_variables!F167</f>
        <v>0</v>
      </c>
      <c r="J169" s="1" t="n">
        <f aca="false">dummy_variables!G167</f>
        <v>0</v>
      </c>
      <c r="K169" s="1" t="n">
        <f aca="false">dummy_variables!H167</f>
        <v>0</v>
      </c>
      <c r="L169" s="1" t="n">
        <f aca="false">dummy_variables!I167</f>
        <v>1</v>
      </c>
      <c r="M169" s="1" t="n">
        <f aca="false">dummy_variables!J167</f>
        <v>0</v>
      </c>
    </row>
    <row r="170" customFormat="false" ht="15" hidden="false" customHeight="true" outlineLevel="0" collapsed="false">
      <c r="A170" s="1" t="n">
        <v>164</v>
      </c>
      <c r="B170" s="1" t="n">
        <f aca="false">cleaned_data!F165</f>
        <v>6055</v>
      </c>
      <c r="C170" s="1" t="n">
        <f aca="false">cleaned_data!E165</f>
        <v>66870.62</v>
      </c>
      <c r="D170" s="1" t="n">
        <f aca="false">cleaned_data!H165</f>
        <v>19</v>
      </c>
      <c r="E170" s="1" t="n">
        <f aca="false">cleaned_data!I165</f>
        <v>93.8</v>
      </c>
      <c r="F170" s="1" t="n">
        <f aca="false">cleaned_data!G165</f>
        <v>0.075</v>
      </c>
      <c r="G170" s="1" t="n">
        <f aca="false">cleaned_data!K165</f>
        <v>0</v>
      </c>
      <c r="H170" s="1" t="n">
        <f aca="false">dummy_variables!E168</f>
        <v>0</v>
      </c>
      <c r="I170" s="1" t="n">
        <f aca="false">dummy_variables!F168</f>
        <v>0</v>
      </c>
      <c r="J170" s="1" t="n">
        <f aca="false">dummy_variables!G168</f>
        <v>0</v>
      </c>
      <c r="K170" s="1" t="n">
        <f aca="false">dummy_variables!H168</f>
        <v>0</v>
      </c>
      <c r="L170" s="1" t="n">
        <f aca="false">dummy_variables!I168</f>
        <v>1</v>
      </c>
      <c r="M170" s="1" t="n">
        <f aca="false">dummy_variables!J168</f>
        <v>0</v>
      </c>
    </row>
    <row r="171" customFormat="false" ht="15" hidden="false" customHeight="true" outlineLevel="0" collapsed="false">
      <c r="A171" s="1" t="n">
        <v>165</v>
      </c>
      <c r="B171" s="1" t="n">
        <f aca="false">cleaned_data!F166</f>
        <v>9323</v>
      </c>
      <c r="C171" s="1" t="n">
        <f aca="false">cleaned_data!E166</f>
        <v>72150.53</v>
      </c>
      <c r="D171" s="1" t="n">
        <f aca="false">cleaned_data!H166</f>
        <v>22</v>
      </c>
      <c r="E171" s="1" t="n">
        <f aca="false">cleaned_data!I166</f>
        <v>82.9</v>
      </c>
      <c r="F171" s="1" t="n">
        <f aca="false">cleaned_data!G166</f>
        <v>0.157</v>
      </c>
      <c r="G171" s="1" t="n">
        <f aca="false">cleaned_data!K166</f>
        <v>1</v>
      </c>
      <c r="H171" s="1" t="n">
        <f aca="false">dummy_variables!E169</f>
        <v>1</v>
      </c>
      <c r="I171" s="1" t="n">
        <f aca="false">dummy_variables!F169</f>
        <v>0</v>
      </c>
      <c r="J171" s="1" t="n">
        <f aca="false">dummy_variables!G169</f>
        <v>0</v>
      </c>
      <c r="K171" s="1" t="n">
        <f aca="false">dummy_variables!H169</f>
        <v>1</v>
      </c>
      <c r="L171" s="1" t="n">
        <f aca="false">dummy_variables!I169</f>
        <v>0</v>
      </c>
      <c r="M171" s="1" t="n">
        <f aca="false">dummy_variables!J169</f>
        <v>0</v>
      </c>
    </row>
    <row r="172" customFormat="false" ht="15" hidden="false" customHeight="true" outlineLevel="0" collapsed="false">
      <c r="A172" s="1" t="n">
        <v>166</v>
      </c>
      <c r="B172" s="1" t="n">
        <f aca="false">cleaned_data!F167</f>
        <v>8789</v>
      </c>
      <c r="C172" s="1" t="n">
        <f aca="false">cleaned_data!E167</f>
        <v>35303.3</v>
      </c>
      <c r="D172" s="1" t="n">
        <f aca="false">cleaned_data!H167</f>
        <v>22</v>
      </c>
      <c r="E172" s="1" t="n">
        <f aca="false">cleaned_data!I167</f>
        <v>86.1</v>
      </c>
      <c r="F172" s="1" t="n">
        <f aca="false">cleaned_data!G167</f>
        <v>0.123</v>
      </c>
      <c r="G172" s="1" t="n">
        <f aca="false">cleaned_data!K167</f>
        <v>0</v>
      </c>
      <c r="H172" s="1" t="n">
        <f aca="false">dummy_variables!E170</f>
        <v>1</v>
      </c>
      <c r="I172" s="1" t="n">
        <f aca="false">dummy_variables!F170</f>
        <v>0</v>
      </c>
      <c r="J172" s="1" t="n">
        <f aca="false">dummy_variables!G170</f>
        <v>0</v>
      </c>
      <c r="K172" s="1" t="n">
        <f aca="false">dummy_variables!H170</f>
        <v>1</v>
      </c>
      <c r="L172" s="1" t="n">
        <f aca="false">dummy_variables!I170</f>
        <v>0</v>
      </c>
      <c r="M172" s="1" t="n">
        <f aca="false">dummy_variables!J170</f>
        <v>0</v>
      </c>
    </row>
    <row r="173" customFormat="false" ht="15" hidden="false" customHeight="true" outlineLevel="0" collapsed="false">
      <c r="A173" s="1" t="n">
        <v>167</v>
      </c>
      <c r="B173" s="1" t="n">
        <f aca="false">cleaned_data!F168</f>
        <v>6939</v>
      </c>
      <c r="C173" s="1" t="n">
        <f aca="false">cleaned_data!E168</f>
        <v>30301.86</v>
      </c>
      <c r="D173" s="1" t="n">
        <f aca="false">cleaned_data!H168</f>
        <v>16</v>
      </c>
      <c r="E173" s="1" t="n">
        <f aca="false">cleaned_data!I168</f>
        <v>90.3</v>
      </c>
      <c r="F173" s="1" t="n">
        <f aca="false">cleaned_data!G168</f>
        <v>0.09</v>
      </c>
      <c r="G173" s="1" t="n">
        <f aca="false">cleaned_data!K168</f>
        <v>0</v>
      </c>
      <c r="H173" s="1" t="n">
        <f aca="false">dummy_variables!E171</f>
        <v>1</v>
      </c>
      <c r="I173" s="1" t="n">
        <f aca="false">dummy_variables!F171</f>
        <v>0</v>
      </c>
      <c r="J173" s="1" t="n">
        <f aca="false">dummy_variables!G171</f>
        <v>0</v>
      </c>
      <c r="K173" s="1" t="n">
        <f aca="false">dummy_variables!H171</f>
        <v>1</v>
      </c>
      <c r="L173" s="1" t="n">
        <f aca="false">dummy_variables!I171</f>
        <v>0</v>
      </c>
      <c r="M173" s="1" t="n">
        <f aca="false">dummy_variables!J171</f>
        <v>0</v>
      </c>
    </row>
    <row r="174" customFormat="false" ht="15" hidden="false" customHeight="true" outlineLevel="0" collapsed="false">
      <c r="A174" s="1" t="n">
        <v>168</v>
      </c>
      <c r="B174" s="1" t="n">
        <f aca="false">cleaned_data!F169</f>
        <v>9440</v>
      </c>
      <c r="C174" s="1" t="n">
        <f aca="false">cleaned_data!E169</f>
        <v>78432.14</v>
      </c>
      <c r="D174" s="1" t="n">
        <f aca="false">cleaned_data!H169</f>
        <v>23</v>
      </c>
      <c r="E174" s="1" t="n">
        <f aca="false">cleaned_data!I169</f>
        <v>89.2</v>
      </c>
      <c r="F174" s="1" t="n">
        <f aca="false">cleaned_data!G169</f>
        <v>0.126</v>
      </c>
      <c r="G174" s="1" t="n">
        <f aca="false">cleaned_data!K169</f>
        <v>0</v>
      </c>
      <c r="H174" s="1" t="n">
        <f aca="false">dummy_variables!E172</f>
        <v>1</v>
      </c>
      <c r="I174" s="1" t="n">
        <f aca="false">dummy_variables!F172</f>
        <v>0</v>
      </c>
      <c r="J174" s="1" t="n">
        <f aca="false">dummy_variables!G172</f>
        <v>0</v>
      </c>
      <c r="K174" s="1" t="n">
        <f aca="false">dummy_variables!H172</f>
        <v>1</v>
      </c>
      <c r="L174" s="1" t="n">
        <f aca="false">dummy_variables!I172</f>
        <v>0</v>
      </c>
      <c r="M174" s="1" t="n">
        <f aca="false">dummy_variables!J172</f>
        <v>0</v>
      </c>
    </row>
    <row r="175" customFormat="false" ht="15" hidden="false" customHeight="true" outlineLevel="0" collapsed="false">
      <c r="A175" s="1" t="n">
        <v>169</v>
      </c>
      <c r="B175" s="1" t="n">
        <f aca="false">cleaned_data!F170</f>
        <v>9374</v>
      </c>
      <c r="C175" s="1" t="n">
        <f aca="false">cleaned_data!E170</f>
        <v>62059.18</v>
      </c>
      <c r="D175" s="1" t="n">
        <f aca="false">cleaned_data!H170</f>
        <v>25</v>
      </c>
      <c r="E175" s="1" t="n">
        <f aca="false">cleaned_data!I170</f>
        <v>87.1</v>
      </c>
      <c r="F175" s="1" t="n">
        <f aca="false">cleaned_data!G170</f>
        <v>0.136</v>
      </c>
      <c r="G175" s="1" t="n">
        <f aca="false">cleaned_data!K170</f>
        <v>0</v>
      </c>
      <c r="H175" s="1" t="n">
        <f aca="false">dummy_variables!E173</f>
        <v>0</v>
      </c>
      <c r="I175" s="1" t="n">
        <f aca="false">dummy_variables!F173</f>
        <v>1</v>
      </c>
      <c r="J175" s="1" t="n">
        <f aca="false">dummy_variables!G173</f>
        <v>0</v>
      </c>
      <c r="K175" s="1" t="n">
        <f aca="false">dummy_variables!H173</f>
        <v>0</v>
      </c>
      <c r="L175" s="1" t="n">
        <f aca="false">dummy_variables!I173</f>
        <v>0</v>
      </c>
      <c r="M175" s="1" t="n">
        <f aca="false">dummy_variables!J173</f>
        <v>0</v>
      </c>
    </row>
    <row r="176" customFormat="false" ht="15" hidden="false" customHeight="true" outlineLevel="0" collapsed="false">
      <c r="A176" s="1" t="n">
        <v>170</v>
      </c>
      <c r="B176" s="1" t="n">
        <f aca="false">cleaned_data!F171</f>
        <v>7576</v>
      </c>
      <c r="C176" s="1" t="n">
        <f aca="false">cleaned_data!E171</f>
        <v>32834.48</v>
      </c>
      <c r="D176" s="1" t="n">
        <f aca="false">cleaned_data!H171</f>
        <v>15</v>
      </c>
      <c r="E176" s="1" t="n">
        <f aca="false">cleaned_data!I171</f>
        <v>84.1</v>
      </c>
      <c r="F176" s="1" t="n">
        <f aca="false">cleaned_data!G171</f>
        <v>0.099</v>
      </c>
      <c r="G176" s="1" t="n">
        <f aca="false">cleaned_data!K171</f>
        <v>0</v>
      </c>
      <c r="H176" s="1" t="n">
        <f aca="false">dummy_variables!E174</f>
        <v>0</v>
      </c>
      <c r="I176" s="1" t="n">
        <f aca="false">dummy_variables!F174</f>
        <v>1</v>
      </c>
      <c r="J176" s="1" t="n">
        <f aca="false">dummy_variables!G174</f>
        <v>0</v>
      </c>
      <c r="K176" s="1" t="n">
        <f aca="false">dummy_variables!H174</f>
        <v>0</v>
      </c>
      <c r="L176" s="1" t="n">
        <f aca="false">dummy_variables!I174</f>
        <v>0</v>
      </c>
      <c r="M176" s="1" t="n">
        <f aca="false">dummy_variables!J174</f>
        <v>0</v>
      </c>
    </row>
    <row r="177" customFormat="false" ht="15" hidden="false" customHeight="true" outlineLevel="0" collapsed="false">
      <c r="A177" s="1" t="n">
        <v>171</v>
      </c>
      <c r="B177" s="1" t="n">
        <f aca="false">cleaned_data!F172</f>
        <v>8949</v>
      </c>
      <c r="C177" s="1" t="n">
        <f aca="false">cleaned_data!E172</f>
        <v>50825.08</v>
      </c>
      <c r="D177" s="1" t="n">
        <f aca="false">cleaned_data!H172</f>
        <v>21</v>
      </c>
      <c r="E177" s="1" t="n">
        <f aca="false">cleaned_data!I172</f>
        <v>84.7</v>
      </c>
      <c r="F177" s="1" t="n">
        <f aca="false">cleaned_data!G172</f>
        <v>0.157</v>
      </c>
      <c r="G177" s="1" t="n">
        <f aca="false">cleaned_data!K172</f>
        <v>0</v>
      </c>
      <c r="H177" s="1" t="n">
        <f aca="false">dummy_variables!E175</f>
        <v>0</v>
      </c>
      <c r="I177" s="1" t="n">
        <f aca="false">dummy_variables!F175</f>
        <v>1</v>
      </c>
      <c r="J177" s="1" t="n">
        <f aca="false">dummy_variables!G175</f>
        <v>0</v>
      </c>
      <c r="K177" s="1" t="n">
        <f aca="false">dummy_variables!H175</f>
        <v>0</v>
      </c>
      <c r="L177" s="1" t="n">
        <f aca="false">dummy_variables!I175</f>
        <v>0</v>
      </c>
      <c r="M177" s="1" t="n">
        <f aca="false">dummy_variables!J175</f>
        <v>0</v>
      </c>
    </row>
    <row r="178" customFormat="false" ht="15" hidden="false" customHeight="true" outlineLevel="0" collapsed="false">
      <c r="A178" s="1" t="n">
        <v>172</v>
      </c>
      <c r="B178" s="1" t="n">
        <f aca="false">cleaned_data!F173</f>
        <v>7671</v>
      </c>
      <c r="C178" s="1" t="n">
        <f aca="false">cleaned_data!E173</f>
        <v>36606.51</v>
      </c>
      <c r="D178" s="1" t="n">
        <f aca="false">cleaned_data!H173</f>
        <v>18</v>
      </c>
      <c r="E178" s="1" t="n">
        <f aca="false">cleaned_data!I173</f>
        <v>89.8</v>
      </c>
      <c r="F178" s="1" t="n">
        <f aca="false">cleaned_data!G173</f>
        <v>0.118</v>
      </c>
      <c r="G178" s="1" t="n">
        <f aca="false">cleaned_data!K173</f>
        <v>0</v>
      </c>
      <c r="H178" s="1" t="n">
        <f aca="false">dummy_variables!E176</f>
        <v>0</v>
      </c>
      <c r="I178" s="1" t="n">
        <f aca="false">dummy_variables!F176</f>
        <v>1</v>
      </c>
      <c r="J178" s="1" t="n">
        <f aca="false">dummy_variables!G176</f>
        <v>0</v>
      </c>
      <c r="K178" s="1" t="n">
        <f aca="false">dummy_variables!H176</f>
        <v>0</v>
      </c>
      <c r="L178" s="1" t="n">
        <f aca="false">dummy_variables!I176</f>
        <v>0</v>
      </c>
      <c r="M178" s="1" t="n">
        <f aca="false">dummy_variables!J176</f>
        <v>0</v>
      </c>
    </row>
    <row r="179" customFormat="false" ht="15" hidden="false" customHeight="true" outlineLevel="0" collapsed="false">
      <c r="A179" s="1" t="n">
        <v>173</v>
      </c>
      <c r="B179" s="1" t="n">
        <f aca="false">cleaned_data!F174</f>
        <v>8741</v>
      </c>
      <c r="C179" s="1" t="n">
        <f aca="false">cleaned_data!E174</f>
        <v>65237.79</v>
      </c>
      <c r="D179" s="1" t="n">
        <f aca="false">cleaned_data!H174</f>
        <v>20</v>
      </c>
      <c r="E179" s="1" t="n">
        <f aca="false">cleaned_data!I174</f>
        <v>94.4</v>
      </c>
      <c r="F179" s="1" t="n">
        <f aca="false">cleaned_data!G174</f>
        <v>0.157</v>
      </c>
      <c r="G179" s="1" t="n">
        <f aca="false">cleaned_data!K174</f>
        <v>0</v>
      </c>
      <c r="H179" s="1" t="n">
        <f aca="false">dummy_variables!E177</f>
        <v>0</v>
      </c>
      <c r="I179" s="1" t="n">
        <f aca="false">dummy_variables!F177</f>
        <v>1</v>
      </c>
      <c r="J179" s="1" t="n">
        <f aca="false">dummy_variables!G177</f>
        <v>0</v>
      </c>
      <c r="K179" s="1" t="n">
        <f aca="false">dummy_variables!H177</f>
        <v>0</v>
      </c>
      <c r="L179" s="1" t="n">
        <f aca="false">dummy_variables!I177</f>
        <v>0</v>
      </c>
      <c r="M179" s="1" t="n">
        <f aca="false">dummy_variables!J177</f>
        <v>0</v>
      </c>
    </row>
    <row r="180" customFormat="false" ht="15" hidden="false" customHeight="true" outlineLevel="0" collapsed="false">
      <c r="A180" s="1" t="n">
        <v>174</v>
      </c>
      <c r="B180" s="1" t="n">
        <f aca="false">cleaned_data!F175</f>
        <v>9480</v>
      </c>
      <c r="C180" s="1" t="n">
        <f aca="false">cleaned_data!E175</f>
        <v>43645.98</v>
      </c>
      <c r="D180" s="1" t="n">
        <f aca="false">cleaned_data!H175</f>
        <v>22</v>
      </c>
      <c r="E180" s="1" t="n">
        <f aca="false">cleaned_data!I175</f>
        <v>89</v>
      </c>
      <c r="F180" s="1" t="n">
        <f aca="false">cleaned_data!G175</f>
        <v>0.109</v>
      </c>
      <c r="G180" s="1" t="n">
        <f aca="false">cleaned_data!K175</f>
        <v>0</v>
      </c>
      <c r="H180" s="1" t="n">
        <f aca="false">dummy_variables!E178</f>
        <v>0</v>
      </c>
      <c r="I180" s="1" t="n">
        <f aca="false">dummy_variables!F178</f>
        <v>1</v>
      </c>
      <c r="J180" s="1" t="n">
        <f aca="false">dummy_variables!G178</f>
        <v>0</v>
      </c>
      <c r="K180" s="1" t="n">
        <f aca="false">dummy_variables!H178</f>
        <v>0</v>
      </c>
      <c r="L180" s="1" t="n">
        <f aca="false">dummy_variables!I178</f>
        <v>0</v>
      </c>
      <c r="M180" s="1" t="n">
        <f aca="false">dummy_variables!J178</f>
        <v>0</v>
      </c>
    </row>
    <row r="181" customFormat="false" ht="15" hidden="false" customHeight="true" outlineLevel="0" collapsed="false">
      <c r="A181" s="1" t="n">
        <v>175</v>
      </c>
      <c r="B181" s="1" t="n">
        <f aca="false">cleaned_data!F176</f>
        <v>9826</v>
      </c>
      <c r="C181" s="1" t="n">
        <f aca="false">cleaned_data!E176</f>
        <v>68040.15</v>
      </c>
      <c r="D181" s="1" t="n">
        <f aca="false">cleaned_data!H176</f>
        <v>20</v>
      </c>
      <c r="E181" s="1" t="n">
        <f aca="false">cleaned_data!I176</f>
        <v>83.9</v>
      </c>
      <c r="F181" s="1" t="n">
        <f aca="false">cleaned_data!G176</f>
        <v>0.125</v>
      </c>
      <c r="G181" s="1" t="n">
        <f aca="false">cleaned_data!K176</f>
        <v>0</v>
      </c>
      <c r="H181" s="1" t="n">
        <f aca="false">dummy_variables!E179</f>
        <v>0</v>
      </c>
      <c r="I181" s="1" t="n">
        <f aca="false">dummy_variables!F179</f>
        <v>1</v>
      </c>
      <c r="J181" s="1" t="n">
        <f aca="false">dummy_variables!G179</f>
        <v>0</v>
      </c>
      <c r="K181" s="1" t="n">
        <f aca="false">dummy_variables!H179</f>
        <v>0</v>
      </c>
      <c r="L181" s="1" t="n">
        <f aca="false">dummy_variables!I179</f>
        <v>0</v>
      </c>
      <c r="M181" s="1" t="n">
        <f aca="false">dummy_variables!J179</f>
        <v>0</v>
      </c>
    </row>
    <row r="182" customFormat="false" ht="15" hidden="false" customHeight="true" outlineLevel="0" collapsed="false">
      <c r="A182" s="1" t="n">
        <v>176</v>
      </c>
      <c r="B182" s="1" t="n">
        <f aca="false">cleaned_data!F177</f>
        <v>10402</v>
      </c>
      <c r="C182" s="1" t="n">
        <f aca="false">cleaned_data!E177</f>
        <v>63043.94</v>
      </c>
      <c r="D182" s="1" t="n">
        <f aca="false">cleaned_data!H177</f>
        <v>23</v>
      </c>
      <c r="E182" s="1" t="n">
        <f aca="false">cleaned_data!I177</f>
        <v>93.9</v>
      </c>
      <c r="F182" s="1" t="n">
        <f aca="false">cleaned_data!G177</f>
        <v>0.159</v>
      </c>
      <c r="G182" s="1" t="n">
        <f aca="false">cleaned_data!K177</f>
        <v>0</v>
      </c>
      <c r="H182" s="1" t="n">
        <f aca="false">dummy_variables!E180</f>
        <v>0</v>
      </c>
      <c r="I182" s="1" t="n">
        <f aca="false">dummy_variables!F180</f>
        <v>1</v>
      </c>
      <c r="J182" s="1" t="n">
        <f aca="false">dummy_variables!G180</f>
        <v>0</v>
      </c>
      <c r="K182" s="1" t="n">
        <f aca="false">dummy_variables!H180</f>
        <v>0</v>
      </c>
      <c r="L182" s="1" t="n">
        <f aca="false">dummy_variables!I180</f>
        <v>0</v>
      </c>
      <c r="M182" s="1" t="n">
        <f aca="false">dummy_variables!J180</f>
        <v>0</v>
      </c>
    </row>
    <row r="183" customFormat="false" ht="15" hidden="false" customHeight="true" outlineLevel="0" collapsed="false">
      <c r="A183" s="1" t="n">
        <v>177</v>
      </c>
      <c r="B183" s="1" t="n">
        <f aca="false">cleaned_data!F178</f>
        <v>12361</v>
      </c>
      <c r="C183" s="1" t="n">
        <f aca="false">cleaned_data!E178</f>
        <v>67494.09</v>
      </c>
      <c r="D183" s="1" t="n">
        <f aca="false">cleaned_data!H178</f>
        <v>24</v>
      </c>
      <c r="E183" s="1" t="n">
        <f aca="false">cleaned_data!I178</f>
        <v>76.6</v>
      </c>
      <c r="F183" s="1" t="n">
        <f aca="false">cleaned_data!G178</f>
        <v>0.046</v>
      </c>
      <c r="G183" s="1" t="n">
        <f aca="false">cleaned_data!K178</f>
        <v>1</v>
      </c>
      <c r="H183" s="1" t="n">
        <f aca="false">dummy_variables!E181</f>
        <v>0</v>
      </c>
      <c r="I183" s="1" t="n">
        <f aca="false">dummy_variables!F181</f>
        <v>0</v>
      </c>
      <c r="J183" s="1" t="n">
        <f aca="false">dummy_variables!G181</f>
        <v>1</v>
      </c>
      <c r="K183" s="1" t="n">
        <f aca="false">dummy_variables!H181</f>
        <v>0</v>
      </c>
      <c r="L183" s="1" t="n">
        <f aca="false">dummy_variables!I181</f>
        <v>0</v>
      </c>
      <c r="M183" s="1" t="n">
        <f aca="false">dummy_variables!J181</f>
        <v>1</v>
      </c>
    </row>
    <row r="184" customFormat="false" ht="15" hidden="false" customHeight="true" outlineLevel="0" collapsed="false">
      <c r="A184" s="1" t="n">
        <v>178</v>
      </c>
      <c r="B184" s="1" t="n">
        <f aca="false">cleaned_data!F179</f>
        <v>7925</v>
      </c>
      <c r="C184" s="1" t="n">
        <f aca="false">cleaned_data!E179</f>
        <v>29389.32</v>
      </c>
      <c r="D184" s="1" t="n">
        <f aca="false">cleaned_data!H179</f>
        <v>21</v>
      </c>
      <c r="E184" s="1" t="n">
        <f aca="false">cleaned_data!I179</f>
        <v>90.9</v>
      </c>
      <c r="F184" s="1" t="n">
        <f aca="false">cleaned_data!G179</f>
        <v>0.177</v>
      </c>
      <c r="G184" s="1" t="n">
        <f aca="false">cleaned_data!K179</f>
        <v>0</v>
      </c>
      <c r="H184" s="1" t="n">
        <f aca="false">dummy_variables!E182</f>
        <v>0</v>
      </c>
      <c r="I184" s="1" t="n">
        <f aca="false">dummy_variables!F182</f>
        <v>0</v>
      </c>
      <c r="J184" s="1" t="n">
        <f aca="false">dummy_variables!G182</f>
        <v>1</v>
      </c>
      <c r="K184" s="1" t="n">
        <f aca="false">dummy_variables!H182</f>
        <v>0</v>
      </c>
      <c r="L184" s="1" t="n">
        <f aca="false">dummy_variables!I182</f>
        <v>0</v>
      </c>
      <c r="M184" s="1" t="n">
        <f aca="false">dummy_variables!J182</f>
        <v>1</v>
      </c>
    </row>
    <row r="185" customFormat="false" ht="15" hidden="false" customHeight="true" outlineLevel="0" collapsed="false">
      <c r="A185" s="1" t="n">
        <v>179</v>
      </c>
      <c r="B185" s="1" t="n">
        <f aca="false">cleaned_data!F180</f>
        <v>8870</v>
      </c>
      <c r="C185" s="1" t="n">
        <f aca="false">cleaned_data!E180</f>
        <v>40535.09</v>
      </c>
      <c r="D185" s="1" t="n">
        <f aca="false">cleaned_data!H180</f>
        <v>21</v>
      </c>
      <c r="E185" s="1" t="n">
        <f aca="false">cleaned_data!I180</f>
        <v>86.6</v>
      </c>
      <c r="F185" s="1" t="n">
        <f aca="false">cleaned_data!G180</f>
        <v>0.041</v>
      </c>
      <c r="G185" s="1" t="n">
        <f aca="false">cleaned_data!K180</f>
        <v>0</v>
      </c>
      <c r="H185" s="1" t="n">
        <f aca="false">dummy_variables!E183</f>
        <v>0</v>
      </c>
      <c r="I185" s="1" t="n">
        <f aca="false">dummy_variables!F183</f>
        <v>0</v>
      </c>
      <c r="J185" s="1" t="n">
        <f aca="false">dummy_variables!G183</f>
        <v>1</v>
      </c>
      <c r="K185" s="1" t="n">
        <f aca="false">dummy_variables!H183</f>
        <v>0</v>
      </c>
      <c r="L185" s="1" t="n">
        <f aca="false">dummy_variables!I183</f>
        <v>0</v>
      </c>
      <c r="M185" s="1" t="n">
        <f aca="false">dummy_variables!J183</f>
        <v>1</v>
      </c>
    </row>
    <row r="186" customFormat="false" ht="15" hidden="false" customHeight="true" outlineLevel="0" collapsed="false">
      <c r="A186" s="1" t="n">
        <v>180</v>
      </c>
      <c r="B186" s="1" t="n">
        <f aca="false">cleaned_data!F181</f>
        <v>9999</v>
      </c>
      <c r="C186" s="1" t="n">
        <f aca="false">cleaned_data!E181</f>
        <v>74881.56</v>
      </c>
      <c r="D186" s="1" t="n">
        <f aca="false">cleaned_data!H181</f>
        <v>20</v>
      </c>
      <c r="E186" s="1" t="n">
        <f aca="false">cleaned_data!I181</f>
        <v>89.6</v>
      </c>
      <c r="F186" s="1" t="n">
        <f aca="false">cleaned_data!G181</f>
        <v>0.013</v>
      </c>
      <c r="G186" s="1" t="n">
        <f aca="false">cleaned_data!K181</f>
        <v>0</v>
      </c>
      <c r="H186" s="1" t="n">
        <f aca="false">dummy_variables!E184</f>
        <v>0</v>
      </c>
      <c r="I186" s="1" t="n">
        <f aca="false">dummy_variables!F184</f>
        <v>0</v>
      </c>
      <c r="J186" s="1" t="n">
        <f aca="false">dummy_variables!G184</f>
        <v>1</v>
      </c>
      <c r="K186" s="1" t="n">
        <f aca="false">dummy_variables!H184</f>
        <v>0</v>
      </c>
      <c r="L186" s="1" t="n">
        <f aca="false">dummy_variables!I184</f>
        <v>0</v>
      </c>
      <c r="M186" s="1" t="n">
        <f aca="false">dummy_variables!J184</f>
        <v>1</v>
      </c>
    </row>
    <row r="187" customFormat="false" ht="15" hidden="false" customHeight="true" outlineLevel="0" collapsed="false">
      <c r="A187" s="1" t="n">
        <v>181</v>
      </c>
      <c r="B187" s="1" t="n">
        <f aca="false">cleaned_data!F182</f>
        <v>11154</v>
      </c>
      <c r="C187" s="1" t="n">
        <f aca="false">cleaned_data!E182</f>
        <v>68491.11</v>
      </c>
      <c r="D187" s="1" t="n">
        <f aca="false">cleaned_data!H182</f>
        <v>24</v>
      </c>
      <c r="E187" s="1" t="n">
        <f aca="false">cleaned_data!I182</f>
        <v>89.4</v>
      </c>
      <c r="F187" s="1" t="n">
        <f aca="false">cleaned_data!G182</f>
        <v>0.001</v>
      </c>
      <c r="G187" s="1" t="n">
        <f aca="false">cleaned_data!K182</f>
        <v>1</v>
      </c>
      <c r="H187" s="1" t="n">
        <f aca="false">dummy_variables!E185</f>
        <v>0</v>
      </c>
      <c r="I187" s="1" t="n">
        <f aca="false">dummy_variables!F185</f>
        <v>1</v>
      </c>
      <c r="J187" s="1" t="n">
        <f aca="false">dummy_variables!G185</f>
        <v>0</v>
      </c>
      <c r="K187" s="1" t="n">
        <f aca="false">dummy_variables!H185</f>
        <v>0</v>
      </c>
      <c r="L187" s="1" t="n">
        <f aca="false">dummy_variables!I185</f>
        <v>0</v>
      </c>
      <c r="M187" s="1" t="n">
        <f aca="false">dummy_variables!J185</f>
        <v>1</v>
      </c>
    </row>
    <row r="188" customFormat="false" ht="15" hidden="false" customHeight="true" outlineLevel="0" collapsed="false">
      <c r="A188" s="1" t="n">
        <v>182</v>
      </c>
      <c r="B188" s="1" t="n">
        <f aca="false">cleaned_data!F183</f>
        <v>9287</v>
      </c>
      <c r="C188" s="1" t="n">
        <f aca="false">cleaned_data!E183</f>
        <v>45209.25</v>
      </c>
      <c r="D188" s="1" t="n">
        <f aca="false">cleaned_data!H183</f>
        <v>22</v>
      </c>
      <c r="E188" s="1" t="n">
        <f aca="false">cleaned_data!I183</f>
        <v>86.4</v>
      </c>
      <c r="F188" s="1" t="n">
        <f aca="false">cleaned_data!G183</f>
        <v>0.141</v>
      </c>
      <c r="G188" s="1" t="n">
        <f aca="false">cleaned_data!K183</f>
        <v>0</v>
      </c>
      <c r="H188" s="1" t="n">
        <f aca="false">dummy_variables!E186</f>
        <v>0</v>
      </c>
      <c r="I188" s="1" t="n">
        <f aca="false">dummy_variables!F186</f>
        <v>1</v>
      </c>
      <c r="J188" s="1" t="n">
        <f aca="false">dummy_variables!G186</f>
        <v>0</v>
      </c>
      <c r="K188" s="1" t="n">
        <f aca="false">dummy_variables!H186</f>
        <v>0</v>
      </c>
      <c r="L188" s="1" t="n">
        <f aca="false">dummy_variables!I186</f>
        <v>0</v>
      </c>
      <c r="M188" s="1" t="n">
        <f aca="false">dummy_variables!J186</f>
        <v>1</v>
      </c>
    </row>
    <row r="189" customFormat="false" ht="15" hidden="false" customHeight="true" outlineLevel="0" collapsed="false">
      <c r="A189" s="1" t="n">
        <v>183</v>
      </c>
      <c r="B189" s="1" t="n">
        <f aca="false">cleaned_data!F184</f>
        <v>9812</v>
      </c>
      <c r="C189" s="1" t="n">
        <f aca="false">cleaned_data!E184</f>
        <v>63010.23</v>
      </c>
      <c r="D189" s="1" t="n">
        <f aca="false">cleaned_data!H184</f>
        <v>24</v>
      </c>
      <c r="E189" s="1" t="n">
        <f aca="false">cleaned_data!I184</f>
        <v>76.8</v>
      </c>
      <c r="F189" s="1" t="n">
        <f aca="false">cleaned_data!G184</f>
        <v>0.113</v>
      </c>
      <c r="G189" s="1" t="n">
        <f aca="false">cleaned_data!K184</f>
        <v>1</v>
      </c>
      <c r="H189" s="1" t="n">
        <f aca="false">dummy_variables!E187</f>
        <v>0</v>
      </c>
      <c r="I189" s="1" t="n">
        <f aca="false">dummy_variables!F187</f>
        <v>1</v>
      </c>
      <c r="J189" s="1" t="n">
        <f aca="false">dummy_variables!G187</f>
        <v>0</v>
      </c>
      <c r="K189" s="1" t="n">
        <f aca="false">dummy_variables!H187</f>
        <v>0</v>
      </c>
      <c r="L189" s="1" t="n">
        <f aca="false">dummy_variables!I187</f>
        <v>0</v>
      </c>
      <c r="M189" s="1" t="n">
        <f aca="false">dummy_variables!J187</f>
        <v>1</v>
      </c>
    </row>
    <row r="190" customFormat="false" ht="15" hidden="false" customHeight="true" outlineLevel="0" collapsed="false">
      <c r="A190" s="1" t="n">
        <v>184</v>
      </c>
      <c r="B190" s="1" t="n">
        <f aca="false">cleaned_data!F185</f>
        <v>10741</v>
      </c>
      <c r="C190" s="1" t="n">
        <f aca="false">cleaned_data!E185</f>
        <v>57948.88</v>
      </c>
      <c r="D190" s="1" t="n">
        <f aca="false">cleaned_data!H185</f>
        <v>25</v>
      </c>
      <c r="E190" s="1" t="n">
        <f aca="false">cleaned_data!I185</f>
        <v>90.1</v>
      </c>
      <c r="F190" s="1" t="n">
        <f aca="false">cleaned_data!G185</f>
        <v>0.07</v>
      </c>
      <c r="G190" s="1" t="n">
        <f aca="false">cleaned_data!K185</f>
        <v>0</v>
      </c>
      <c r="H190" s="1" t="n">
        <f aca="false">dummy_variables!E188</f>
        <v>0</v>
      </c>
      <c r="I190" s="1" t="n">
        <f aca="false">dummy_variables!F188</f>
        <v>1</v>
      </c>
      <c r="J190" s="1" t="n">
        <f aca="false">dummy_variables!G188</f>
        <v>0</v>
      </c>
      <c r="K190" s="1" t="n">
        <f aca="false">dummy_variables!H188</f>
        <v>0</v>
      </c>
      <c r="L190" s="1" t="n">
        <f aca="false">dummy_variables!I188</f>
        <v>0</v>
      </c>
      <c r="M190" s="1" t="n">
        <f aca="false">dummy_variables!J188</f>
        <v>1</v>
      </c>
    </row>
    <row r="191" customFormat="false" ht="15" hidden="false" customHeight="true" outlineLevel="0" collapsed="false">
      <c r="A191" s="1" t="n">
        <v>185</v>
      </c>
      <c r="B191" s="1" t="n">
        <f aca="false">cleaned_data!F186</f>
        <v>6084</v>
      </c>
      <c r="C191" s="1" t="n">
        <f aca="false">cleaned_data!E186</f>
        <v>71941.62</v>
      </c>
      <c r="D191" s="1" t="n">
        <f aca="false">cleaned_data!H186</f>
        <v>13</v>
      </c>
      <c r="E191" s="1" t="n">
        <f aca="false">cleaned_data!I186</f>
        <v>93.7</v>
      </c>
      <c r="F191" s="1" t="n">
        <f aca="false">cleaned_data!G186</f>
        <v>0.072</v>
      </c>
      <c r="G191" s="1" t="n">
        <f aca="false">cleaned_data!K186</f>
        <v>0</v>
      </c>
      <c r="H191" s="1" t="n">
        <f aca="false">dummy_variables!E189</f>
        <v>0</v>
      </c>
      <c r="I191" s="1" t="n">
        <f aca="false">dummy_variables!F189</f>
        <v>0</v>
      </c>
      <c r="J191" s="1" t="n">
        <f aca="false">dummy_variables!G189</f>
        <v>0</v>
      </c>
      <c r="K191" s="1" t="n">
        <f aca="false">dummy_variables!H189</f>
        <v>1</v>
      </c>
      <c r="L191" s="1" t="n">
        <f aca="false">dummy_variables!I189</f>
        <v>0</v>
      </c>
      <c r="M191" s="1" t="n">
        <f aca="false">dummy_variables!J189</f>
        <v>0</v>
      </c>
    </row>
    <row r="192" customFormat="false" ht="15" hidden="false" customHeight="true" outlineLevel="0" collapsed="false">
      <c r="A192" s="1" t="n">
        <v>186</v>
      </c>
      <c r="B192" s="1" t="n">
        <f aca="false">cleaned_data!F187</f>
        <v>5252</v>
      </c>
      <c r="C192" s="1" t="n">
        <f aca="false">cleaned_data!E187</f>
        <v>57147.88</v>
      </c>
      <c r="D192" s="1" t="n">
        <f aca="false">cleaned_data!H187</f>
        <v>15</v>
      </c>
      <c r="E192" s="1" t="n">
        <f aca="false">cleaned_data!I187</f>
        <v>95.5</v>
      </c>
      <c r="F192" s="1" t="n">
        <f aca="false">cleaned_data!G187</f>
        <v>0.161</v>
      </c>
      <c r="G192" s="1" t="n">
        <f aca="false">cleaned_data!K187</f>
        <v>0</v>
      </c>
      <c r="H192" s="1" t="n">
        <f aca="false">dummy_variables!E190</f>
        <v>0</v>
      </c>
      <c r="I192" s="1" t="n">
        <f aca="false">dummy_variables!F190</f>
        <v>0</v>
      </c>
      <c r="J192" s="1" t="n">
        <f aca="false">dummy_variables!G190</f>
        <v>0</v>
      </c>
      <c r="K192" s="1" t="n">
        <f aca="false">dummy_variables!H190</f>
        <v>1</v>
      </c>
      <c r="L192" s="1" t="n">
        <f aca="false">dummy_variables!I190</f>
        <v>0</v>
      </c>
      <c r="M192" s="1" t="n">
        <f aca="false">dummy_variables!J190</f>
        <v>0</v>
      </c>
    </row>
    <row r="193" customFormat="false" ht="15" hidden="false" customHeight="true" outlineLevel="0" collapsed="false">
      <c r="A193" s="1" t="n">
        <v>187</v>
      </c>
      <c r="B193" s="1" t="n">
        <f aca="false">cleaned_data!F188</f>
        <v>6516</v>
      </c>
      <c r="C193" s="1" t="n">
        <f aca="false">cleaned_data!E188</f>
        <v>48031.74</v>
      </c>
      <c r="D193" s="1" t="n">
        <f aca="false">cleaned_data!H188</f>
        <v>14</v>
      </c>
      <c r="E193" s="1" t="n">
        <f aca="false">cleaned_data!I188</f>
        <v>99</v>
      </c>
      <c r="F193" s="1" t="n">
        <f aca="false">cleaned_data!G188</f>
        <v>0.067</v>
      </c>
      <c r="G193" s="1" t="n">
        <f aca="false">cleaned_data!K188</f>
        <v>1</v>
      </c>
      <c r="H193" s="1" t="n">
        <f aca="false">dummy_variables!E191</f>
        <v>0</v>
      </c>
      <c r="I193" s="1" t="n">
        <f aca="false">dummy_variables!F191</f>
        <v>0</v>
      </c>
      <c r="J193" s="1" t="n">
        <f aca="false">dummy_variables!G191</f>
        <v>0</v>
      </c>
      <c r="K193" s="1" t="n">
        <f aca="false">dummy_variables!H191</f>
        <v>1</v>
      </c>
      <c r="L193" s="1" t="n">
        <f aca="false">dummy_variables!I191</f>
        <v>0</v>
      </c>
      <c r="M193" s="1" t="n">
        <f aca="false">dummy_variables!J191</f>
        <v>0</v>
      </c>
    </row>
    <row r="194" customFormat="false" ht="15" hidden="false" customHeight="true" outlineLevel="0" collapsed="false">
      <c r="A194" s="1" t="n">
        <v>188</v>
      </c>
      <c r="B194" s="1" t="n">
        <f aca="false">cleaned_data!F189</f>
        <v>7932</v>
      </c>
      <c r="C194" s="1" t="n">
        <f aca="false">cleaned_data!E189</f>
        <v>72784.8</v>
      </c>
      <c r="D194" s="1" t="n">
        <f aca="false">cleaned_data!H189</f>
        <v>20</v>
      </c>
      <c r="E194" s="1" t="n">
        <f aca="false">cleaned_data!I189</f>
        <v>74.9</v>
      </c>
      <c r="F194" s="1" t="n">
        <f aca="false">cleaned_data!G189</f>
        <v>0.094</v>
      </c>
      <c r="G194" s="1" t="n">
        <f aca="false">cleaned_data!K189</f>
        <v>0</v>
      </c>
      <c r="H194" s="1" t="n">
        <f aca="false">dummy_variables!E192</f>
        <v>0</v>
      </c>
      <c r="I194" s="1" t="n">
        <f aca="false">dummy_variables!F192</f>
        <v>0</v>
      </c>
      <c r="J194" s="1" t="n">
        <f aca="false">dummy_variables!G192</f>
        <v>0</v>
      </c>
      <c r="K194" s="1" t="n">
        <f aca="false">dummy_variables!H192</f>
        <v>1</v>
      </c>
      <c r="L194" s="1" t="n">
        <f aca="false">dummy_variables!I192</f>
        <v>0</v>
      </c>
      <c r="M194" s="1" t="n">
        <f aca="false">dummy_variables!J192</f>
        <v>0</v>
      </c>
    </row>
    <row r="195" customFormat="false" ht="15" hidden="false" customHeight="true" outlineLevel="0" collapsed="false">
      <c r="A195" s="1" t="n">
        <v>189</v>
      </c>
      <c r="B195" s="1" t="n">
        <f aca="false">cleaned_data!F190</f>
        <v>3506</v>
      </c>
      <c r="C195" s="1" t="n">
        <f aca="false">cleaned_data!E190</f>
        <v>71641.9</v>
      </c>
      <c r="D195" s="1" t="n">
        <f aca="false">cleaned_data!H190</f>
        <v>11</v>
      </c>
      <c r="E195" s="1" t="n">
        <f aca="false">cleaned_data!I190</f>
        <v>86.4</v>
      </c>
      <c r="F195" s="1" t="n">
        <f aca="false">cleaned_data!G190</f>
        <v>0</v>
      </c>
      <c r="G195" s="1" t="n">
        <f aca="false">cleaned_data!K190</f>
        <v>0</v>
      </c>
      <c r="H195" s="1" t="n">
        <f aca="false">dummy_variables!E193</f>
        <v>0</v>
      </c>
      <c r="I195" s="1" t="n">
        <f aca="false">dummy_variables!F193</f>
        <v>0</v>
      </c>
      <c r="J195" s="1" t="n">
        <f aca="false">dummy_variables!G193</f>
        <v>0</v>
      </c>
      <c r="K195" s="1" t="n">
        <f aca="false">dummy_variables!H193</f>
        <v>0</v>
      </c>
      <c r="L195" s="1" t="n">
        <f aca="false">dummy_variables!I193</f>
        <v>0</v>
      </c>
      <c r="M195" s="1" t="n">
        <f aca="false">dummy_variables!J193</f>
        <v>0</v>
      </c>
    </row>
    <row r="196" customFormat="false" ht="15" hidden="false" customHeight="true" outlineLevel="0" collapsed="false">
      <c r="A196" s="1" t="n">
        <v>190</v>
      </c>
      <c r="B196" s="1" t="n">
        <f aca="false">cleaned_data!F191</f>
        <v>2312</v>
      </c>
      <c r="C196" s="1" t="n">
        <f aca="false">cleaned_data!E191</f>
        <v>55788.61</v>
      </c>
      <c r="D196" s="1" t="n">
        <f aca="false">cleaned_data!H191</f>
        <v>10</v>
      </c>
      <c r="E196" s="1" t="n">
        <f aca="false">cleaned_data!I191</f>
        <v>91.3</v>
      </c>
      <c r="F196" s="1" t="n">
        <f aca="false">cleaned_data!G191</f>
        <v>0.058</v>
      </c>
      <c r="G196" s="1" t="n">
        <f aca="false">cleaned_data!K191</f>
        <v>0</v>
      </c>
      <c r="H196" s="1" t="n">
        <f aca="false">dummy_variables!E194</f>
        <v>0</v>
      </c>
      <c r="I196" s="1" t="n">
        <f aca="false">dummy_variables!F194</f>
        <v>0</v>
      </c>
      <c r="J196" s="1" t="n">
        <f aca="false">dummy_variables!G194</f>
        <v>0</v>
      </c>
      <c r="K196" s="1" t="n">
        <f aca="false">dummy_variables!H194</f>
        <v>0</v>
      </c>
      <c r="L196" s="1" t="n">
        <f aca="false">dummy_variables!I194</f>
        <v>0</v>
      </c>
      <c r="M196" s="1" t="n">
        <f aca="false">dummy_variables!J194</f>
        <v>0</v>
      </c>
    </row>
    <row r="197" customFormat="false" ht="15" hidden="false" customHeight="true" outlineLevel="0" collapsed="false">
      <c r="A197" s="1" t="n">
        <v>191</v>
      </c>
      <c r="B197" s="1" t="n">
        <f aca="false">cleaned_data!F192</f>
        <v>1268</v>
      </c>
      <c r="C197" s="1" t="n">
        <f aca="false">cleaned_data!E192</f>
        <v>37705.88</v>
      </c>
      <c r="D197" s="1" t="n">
        <f aca="false">cleaned_data!H192</f>
        <v>9</v>
      </c>
      <c r="E197" s="1" t="n">
        <f aca="false">cleaned_data!I192</f>
        <v>84.1</v>
      </c>
      <c r="F197" s="1" t="n">
        <f aca="false">cleaned_data!G192</f>
        <v>0.259</v>
      </c>
      <c r="G197" s="1" t="n">
        <f aca="false">cleaned_data!K192</f>
        <v>0</v>
      </c>
      <c r="H197" s="1" t="n">
        <f aca="false">dummy_variables!E195</f>
        <v>0</v>
      </c>
      <c r="I197" s="1" t="n">
        <f aca="false">dummy_variables!F195</f>
        <v>0</v>
      </c>
      <c r="J197" s="1" t="n">
        <f aca="false">dummy_variables!G195</f>
        <v>0</v>
      </c>
      <c r="K197" s="1" t="n">
        <f aca="false">dummy_variables!H195</f>
        <v>0</v>
      </c>
      <c r="L197" s="1" t="n">
        <f aca="false">dummy_variables!I195</f>
        <v>0</v>
      </c>
      <c r="M197" s="1" t="n">
        <f aca="false">dummy_variables!J195</f>
        <v>0</v>
      </c>
    </row>
    <row r="198" customFormat="false" ht="15" hidden="false" customHeight="true" outlineLevel="0" collapsed="false">
      <c r="A198" s="1" t="n">
        <v>192</v>
      </c>
      <c r="B198" s="1" t="n">
        <f aca="false">cleaned_data!F193</f>
        <v>4423</v>
      </c>
      <c r="C198" s="1" t="n">
        <f aca="false">cleaned_data!E193</f>
        <v>54966.18</v>
      </c>
      <c r="D198" s="1" t="n">
        <f aca="false">cleaned_data!H193</f>
        <v>13</v>
      </c>
      <c r="E198" s="1" t="n">
        <f aca="false">cleaned_data!I193</f>
        <v>88.7</v>
      </c>
      <c r="F198" s="1" t="n">
        <f aca="false">cleaned_data!G193</f>
        <v>0.186</v>
      </c>
      <c r="G198" s="1" t="n">
        <f aca="false">cleaned_data!K193</f>
        <v>0</v>
      </c>
      <c r="H198" s="1" t="n">
        <f aca="false">dummy_variables!E196</f>
        <v>0</v>
      </c>
      <c r="I198" s="1" t="n">
        <f aca="false">dummy_variables!F196</f>
        <v>0</v>
      </c>
      <c r="J198" s="1" t="n">
        <f aca="false">dummy_variables!G196</f>
        <v>0</v>
      </c>
      <c r="K198" s="1" t="n">
        <f aca="false">dummy_variables!H196</f>
        <v>0</v>
      </c>
      <c r="L198" s="1" t="n">
        <f aca="false">dummy_variables!I196</f>
        <v>0</v>
      </c>
      <c r="M198" s="1" t="n">
        <f aca="false">dummy_variables!J196</f>
        <v>0</v>
      </c>
    </row>
    <row r="199" customFormat="false" ht="15" hidden="false" customHeight="true" outlineLevel="0" collapsed="false">
      <c r="A199" s="1" t="n">
        <v>193</v>
      </c>
      <c r="B199" s="1" t="n">
        <f aca="false">cleaned_data!F194</f>
        <v>6177</v>
      </c>
      <c r="C199" s="1" t="n">
        <f aca="false">cleaned_data!E194</f>
        <v>81796.74</v>
      </c>
      <c r="D199" s="1" t="n">
        <f aca="false">cleaned_data!H194</f>
        <v>14</v>
      </c>
      <c r="E199" s="1" t="n">
        <f aca="false">cleaned_data!I194</f>
        <v>87.9</v>
      </c>
      <c r="F199" s="1" t="n">
        <f aca="false">cleaned_data!G194</f>
        <v>0.164</v>
      </c>
      <c r="G199" s="1" t="n">
        <f aca="false">cleaned_data!K194</f>
        <v>0</v>
      </c>
      <c r="H199" s="1" t="n">
        <f aca="false">dummy_variables!E197</f>
        <v>0</v>
      </c>
      <c r="I199" s="1" t="n">
        <f aca="false">dummy_variables!F197</f>
        <v>1</v>
      </c>
      <c r="J199" s="1" t="n">
        <f aca="false">dummy_variables!G197</f>
        <v>0</v>
      </c>
      <c r="K199" s="1" t="n">
        <f aca="false">dummy_variables!H197</f>
        <v>0</v>
      </c>
      <c r="L199" s="1" t="n">
        <f aca="false">dummy_variables!I197</f>
        <v>0</v>
      </c>
      <c r="M199" s="1" t="n">
        <f aca="false">dummy_variables!J197</f>
        <v>1</v>
      </c>
    </row>
    <row r="200" customFormat="false" ht="15" hidden="false" customHeight="true" outlineLevel="0" collapsed="false">
      <c r="A200" s="1" t="n">
        <v>194</v>
      </c>
      <c r="B200" s="1" t="n">
        <f aca="false">cleaned_data!F195</f>
        <v>5150</v>
      </c>
      <c r="C200" s="1" t="n">
        <f aca="false">cleaned_data!E195</f>
        <v>51133.43</v>
      </c>
      <c r="D200" s="1" t="n">
        <f aca="false">cleaned_data!H195</f>
        <v>12</v>
      </c>
      <c r="E200" s="1" t="n">
        <f aca="false">cleaned_data!I195</f>
        <v>88.5</v>
      </c>
      <c r="F200" s="1" t="n">
        <f aca="false">cleaned_data!G195</f>
        <v>0.15</v>
      </c>
      <c r="G200" s="1" t="n">
        <f aca="false">cleaned_data!K195</f>
        <v>0</v>
      </c>
      <c r="H200" s="1" t="n">
        <f aca="false">dummy_variables!E198</f>
        <v>0</v>
      </c>
      <c r="I200" s="1" t="n">
        <f aca="false">dummy_variables!F198</f>
        <v>1</v>
      </c>
      <c r="J200" s="1" t="n">
        <f aca="false">dummy_variables!G198</f>
        <v>0</v>
      </c>
      <c r="K200" s="1" t="n">
        <f aca="false">dummy_variables!H198</f>
        <v>0</v>
      </c>
      <c r="L200" s="1" t="n">
        <f aca="false">dummy_variables!I198</f>
        <v>0</v>
      </c>
      <c r="M200" s="1" t="n">
        <f aca="false">dummy_variables!J198</f>
        <v>1</v>
      </c>
    </row>
    <row r="201" customFormat="false" ht="15" hidden="false" customHeight="true" outlineLevel="0" collapsed="false">
      <c r="A201" s="1" t="n">
        <v>195</v>
      </c>
      <c r="B201" s="1" t="n">
        <f aca="false">cleaned_data!F196</f>
        <v>3783</v>
      </c>
      <c r="C201" s="1" t="n">
        <f aca="false">cleaned_data!E196</f>
        <v>40220.18</v>
      </c>
      <c r="D201" s="1" t="n">
        <f aca="false">cleaned_data!H196</f>
        <v>14</v>
      </c>
      <c r="E201" s="1" t="n">
        <f aca="false">cleaned_data!I196</f>
        <v>86.6</v>
      </c>
      <c r="F201" s="1" t="n">
        <f aca="false">cleaned_data!G196</f>
        <v>0.089</v>
      </c>
      <c r="G201" s="1" t="n">
        <f aca="false">cleaned_data!K196</f>
        <v>0</v>
      </c>
      <c r="H201" s="1" t="n">
        <f aca="false">dummy_variables!E199</f>
        <v>0</v>
      </c>
      <c r="I201" s="1" t="n">
        <f aca="false">dummy_variables!F199</f>
        <v>1</v>
      </c>
      <c r="J201" s="1" t="n">
        <f aca="false">dummy_variables!G199</f>
        <v>0</v>
      </c>
      <c r="K201" s="1" t="n">
        <f aca="false">dummy_variables!H199</f>
        <v>0</v>
      </c>
      <c r="L201" s="1" t="n">
        <f aca="false">dummy_variables!I199</f>
        <v>0</v>
      </c>
      <c r="M201" s="1" t="n">
        <f aca="false">dummy_variables!J199</f>
        <v>1</v>
      </c>
    </row>
    <row r="202" customFormat="false" ht="15" hidden="false" customHeight="true" outlineLevel="0" collapsed="false">
      <c r="A202" s="1" t="n">
        <v>196</v>
      </c>
      <c r="B202" s="1" t="n">
        <f aca="false">cleaned_data!F197</f>
        <v>3135</v>
      </c>
      <c r="C202" s="1" t="n">
        <f aca="false">cleaned_data!E197</f>
        <v>41657.64</v>
      </c>
      <c r="D202" s="1" t="n">
        <f aca="false">cleaned_data!H197</f>
        <v>7</v>
      </c>
      <c r="E202" s="1" t="n">
        <f aca="false">cleaned_data!I197</f>
        <v>85.4</v>
      </c>
      <c r="F202" s="1" t="n">
        <f aca="false">cleaned_data!G197</f>
        <v>0.229</v>
      </c>
      <c r="G202" s="1" t="n">
        <f aca="false">cleaned_data!K197</f>
        <v>0</v>
      </c>
      <c r="H202" s="1" t="n">
        <f aca="false">dummy_variables!E200</f>
        <v>0</v>
      </c>
      <c r="I202" s="1" t="n">
        <f aca="false">dummy_variables!F200</f>
        <v>1</v>
      </c>
      <c r="J202" s="1" t="n">
        <f aca="false">dummy_variables!G200</f>
        <v>0</v>
      </c>
      <c r="K202" s="1" t="n">
        <f aca="false">dummy_variables!H200</f>
        <v>0</v>
      </c>
      <c r="L202" s="1" t="n">
        <f aca="false">dummy_variables!I200</f>
        <v>0</v>
      </c>
      <c r="M202" s="1" t="n">
        <f aca="false">dummy_variables!J200</f>
        <v>1</v>
      </c>
    </row>
    <row r="203" customFormat="false" ht="15" hidden="false" customHeight="true" outlineLevel="0" collapsed="false">
      <c r="A203" s="1" t="n">
        <v>197</v>
      </c>
      <c r="B203" s="1" t="n">
        <f aca="false">cleaned_data!F198</f>
        <v>4970</v>
      </c>
      <c r="C203" s="1" t="n">
        <f aca="false">cleaned_data!E198</f>
        <v>71851.45</v>
      </c>
      <c r="D203" s="1" t="n">
        <f aca="false">cleaned_data!H198</f>
        <v>11</v>
      </c>
      <c r="E203" s="1" t="n">
        <f aca="false">cleaned_data!I198</f>
        <v>89.6</v>
      </c>
      <c r="F203" s="1" t="n">
        <f aca="false">cleaned_data!G198</f>
        <v>0.098</v>
      </c>
      <c r="G203" s="1" t="n">
        <f aca="false">cleaned_data!K198</f>
        <v>0</v>
      </c>
      <c r="H203" s="1" t="n">
        <f aca="false">dummy_variables!E201</f>
        <v>0</v>
      </c>
      <c r="I203" s="1" t="n">
        <f aca="false">dummy_variables!F201</f>
        <v>1</v>
      </c>
      <c r="J203" s="1" t="n">
        <f aca="false">dummy_variables!G201</f>
        <v>0</v>
      </c>
      <c r="K203" s="1" t="n">
        <f aca="false">dummy_variables!H201</f>
        <v>1</v>
      </c>
      <c r="L203" s="1" t="n">
        <f aca="false">dummy_variables!I201</f>
        <v>0</v>
      </c>
      <c r="M203" s="1" t="n">
        <f aca="false">dummy_variables!J201</f>
        <v>0</v>
      </c>
    </row>
    <row r="204" customFormat="false" ht="15" hidden="false" customHeight="true" outlineLevel="0" collapsed="false">
      <c r="A204" s="1" t="n">
        <v>198</v>
      </c>
      <c r="B204" s="1" t="n">
        <f aca="false">cleaned_data!F199</f>
        <v>4366</v>
      </c>
      <c r="C204" s="1" t="n">
        <f aca="false">cleaned_data!E199</f>
        <v>54002.83</v>
      </c>
      <c r="D204" s="1" t="n">
        <f aca="false">cleaned_data!H199</f>
        <v>15</v>
      </c>
      <c r="E204" s="1" t="n">
        <f aca="false">cleaned_data!I199</f>
        <v>90.6</v>
      </c>
      <c r="F204" s="1" t="n">
        <f aca="false">cleaned_data!G199</f>
        <v>0.027</v>
      </c>
      <c r="G204" s="1" t="n">
        <f aca="false">cleaned_data!K199</f>
        <v>0</v>
      </c>
      <c r="H204" s="1" t="n">
        <f aca="false">dummy_variables!E202</f>
        <v>0</v>
      </c>
      <c r="I204" s="1" t="n">
        <f aca="false">dummy_variables!F202</f>
        <v>1</v>
      </c>
      <c r="J204" s="1" t="n">
        <f aca="false">dummy_variables!G202</f>
        <v>0</v>
      </c>
      <c r="K204" s="1" t="n">
        <f aca="false">dummy_variables!H202</f>
        <v>1</v>
      </c>
      <c r="L204" s="1" t="n">
        <f aca="false">dummy_variables!I202</f>
        <v>0</v>
      </c>
      <c r="M204" s="1" t="n">
        <f aca="false">dummy_variables!J202</f>
        <v>0</v>
      </c>
    </row>
    <row r="205" customFormat="false" ht="15" hidden="false" customHeight="true" outlineLevel="0" collapsed="false">
      <c r="A205" s="1" t="n">
        <v>199</v>
      </c>
      <c r="B205" s="1" t="n">
        <f aca="false">cleaned_data!F200</f>
        <v>5012</v>
      </c>
      <c r="C205" s="1" t="n">
        <f aca="false">cleaned_data!E200</f>
        <v>54479.33</v>
      </c>
      <c r="D205" s="1" t="n">
        <f aca="false">cleaned_data!H200</f>
        <v>13</v>
      </c>
      <c r="E205" s="1" t="n">
        <f aca="false">cleaned_data!I200</f>
        <v>86</v>
      </c>
      <c r="F205" s="1" t="n">
        <f aca="false">cleaned_data!G200</f>
        <v>0.284</v>
      </c>
      <c r="G205" s="1" t="n">
        <f aca="false">cleaned_data!K200</f>
        <v>1</v>
      </c>
      <c r="H205" s="1" t="n">
        <f aca="false">dummy_variables!E203</f>
        <v>0</v>
      </c>
      <c r="I205" s="1" t="n">
        <f aca="false">dummy_variables!F203</f>
        <v>1</v>
      </c>
      <c r="J205" s="1" t="n">
        <f aca="false">dummy_variables!G203</f>
        <v>0</v>
      </c>
      <c r="K205" s="1" t="n">
        <f aca="false">dummy_variables!H203</f>
        <v>1</v>
      </c>
      <c r="L205" s="1" t="n">
        <f aca="false">dummy_variables!I203</f>
        <v>0</v>
      </c>
      <c r="M205" s="1" t="n">
        <f aca="false">dummy_variables!J203</f>
        <v>0</v>
      </c>
    </row>
    <row r="206" customFormat="false" ht="15" hidden="false" customHeight="true" outlineLevel="0" collapsed="false">
      <c r="A206" s="1" t="n">
        <v>200</v>
      </c>
      <c r="B206" s="1" t="n">
        <f aca="false">cleaned_data!F201</f>
        <v>5575</v>
      </c>
      <c r="C206" s="1" t="n">
        <f aca="false">cleaned_data!E201</f>
        <v>61391.8</v>
      </c>
      <c r="D206" s="1" t="n">
        <f aca="false">cleaned_data!H201</f>
        <v>18</v>
      </c>
      <c r="E206" s="1" t="n">
        <f aca="false">cleaned_data!I201</f>
        <v>90</v>
      </c>
      <c r="F206" s="1" t="n">
        <f aca="false">cleaned_data!G201</f>
        <v>0.189</v>
      </c>
      <c r="G206" s="1" t="n">
        <f aca="false">cleaned_data!K201</f>
        <v>0</v>
      </c>
      <c r="H206" s="1" t="n">
        <f aca="false">dummy_variables!E204</f>
        <v>0</v>
      </c>
      <c r="I206" s="1" t="n">
        <f aca="false">dummy_variables!F204</f>
        <v>1</v>
      </c>
      <c r="J206" s="1" t="n">
        <f aca="false">dummy_variables!G204</f>
        <v>0</v>
      </c>
      <c r="K206" s="1" t="n">
        <f aca="false">dummy_variables!H204</f>
        <v>1</v>
      </c>
      <c r="L206" s="1" t="n">
        <f aca="false">dummy_variables!I204</f>
        <v>0</v>
      </c>
      <c r="M206" s="1" t="n">
        <f aca="false">dummy_variables!J204</f>
        <v>0</v>
      </c>
    </row>
    <row r="207" customFormat="false" ht="15" hidden="false" customHeight="true" outlineLevel="0" collapsed="false">
      <c r="A207" s="1" t="n">
        <v>201</v>
      </c>
      <c r="B207" s="1" t="n">
        <f aca="false">cleaned_data!F202</f>
        <v>5955</v>
      </c>
      <c r="C207" s="1" t="n">
        <f aca="false">cleaned_data!E202</f>
        <v>22312.93</v>
      </c>
      <c r="D207" s="1" t="n">
        <f aca="false">cleaned_data!H202</f>
        <v>13</v>
      </c>
      <c r="E207" s="1" t="n">
        <f aca="false">cleaned_data!I202</f>
        <v>84.2</v>
      </c>
      <c r="F207" s="1" t="n">
        <f aca="false">cleaned_data!G202</f>
        <v>0.123</v>
      </c>
      <c r="G207" s="1" t="n">
        <f aca="false">cleaned_data!K202</f>
        <v>1</v>
      </c>
      <c r="H207" s="1" t="n">
        <f aca="false">dummy_variables!E205</f>
        <v>0</v>
      </c>
      <c r="I207" s="1" t="n">
        <f aca="false">dummy_variables!F205</f>
        <v>0</v>
      </c>
      <c r="J207" s="1" t="n">
        <f aca="false">dummy_variables!G205</f>
        <v>1</v>
      </c>
      <c r="K207" s="1" t="n">
        <f aca="false">dummy_variables!H205</f>
        <v>0</v>
      </c>
      <c r="L207" s="1" t="n">
        <f aca="false">dummy_variables!I205</f>
        <v>0</v>
      </c>
      <c r="M207" s="1" t="n">
        <f aca="false">dummy_variables!J205</f>
        <v>0</v>
      </c>
    </row>
    <row r="208" customFormat="false" ht="15" hidden="false" customHeight="true" outlineLevel="0" collapsed="false">
      <c r="A208" s="1" t="n">
        <v>202</v>
      </c>
      <c r="B208" s="1" t="n">
        <f aca="false">cleaned_data!F203</f>
        <v>6389</v>
      </c>
      <c r="C208" s="1" t="n">
        <f aca="false">cleaned_data!E203</f>
        <v>78111.97</v>
      </c>
      <c r="D208" s="1" t="n">
        <f aca="false">cleaned_data!H203</f>
        <v>13</v>
      </c>
      <c r="E208" s="1" t="n">
        <f aca="false">cleaned_data!I203</f>
        <v>83.9</v>
      </c>
      <c r="F208" s="1" t="n">
        <f aca="false">cleaned_data!G203</f>
        <v>0.15</v>
      </c>
      <c r="G208" s="1" t="n">
        <f aca="false">cleaned_data!K203</f>
        <v>0</v>
      </c>
      <c r="H208" s="1" t="n">
        <f aca="false">dummy_variables!E206</f>
        <v>0</v>
      </c>
      <c r="I208" s="1" t="n">
        <f aca="false">dummy_variables!F206</f>
        <v>0</v>
      </c>
      <c r="J208" s="1" t="n">
        <f aca="false">dummy_variables!G206</f>
        <v>1</v>
      </c>
      <c r="K208" s="1" t="n">
        <f aca="false">dummy_variables!H206</f>
        <v>0</v>
      </c>
      <c r="L208" s="1" t="n">
        <f aca="false">dummy_variables!I206</f>
        <v>0</v>
      </c>
      <c r="M208" s="1" t="n">
        <f aca="false">dummy_variables!J206</f>
        <v>0</v>
      </c>
    </row>
    <row r="209" customFormat="false" ht="15" hidden="false" customHeight="true" outlineLevel="0" collapsed="false">
      <c r="A209" s="1" t="n">
        <v>203</v>
      </c>
      <c r="B209" s="1" t="n">
        <f aca="false">cleaned_data!F204</f>
        <v>6896</v>
      </c>
      <c r="C209" s="1" t="n">
        <f aca="false">cleaned_data!E204</f>
        <v>35203.23</v>
      </c>
      <c r="D209" s="1" t="n">
        <f aca="false">cleaned_data!H204</f>
        <v>14</v>
      </c>
      <c r="E209" s="1" t="n">
        <f aca="false">cleaned_data!I204</f>
        <v>80.8</v>
      </c>
      <c r="F209" s="1" t="n">
        <f aca="false">cleaned_data!G204</f>
        <v>0.032</v>
      </c>
      <c r="G209" s="1" t="n">
        <f aca="false">cleaned_data!K204</f>
        <v>1</v>
      </c>
      <c r="H209" s="1" t="n">
        <f aca="false">dummy_variables!E207</f>
        <v>0</v>
      </c>
      <c r="I209" s="1" t="n">
        <f aca="false">dummy_variables!F207</f>
        <v>0</v>
      </c>
      <c r="J209" s="1" t="n">
        <f aca="false">dummy_variables!G207</f>
        <v>1</v>
      </c>
      <c r="K209" s="1" t="n">
        <f aca="false">dummy_variables!H207</f>
        <v>0</v>
      </c>
      <c r="L209" s="1" t="n">
        <f aca="false">dummy_variables!I207</f>
        <v>0</v>
      </c>
      <c r="M209" s="1" t="n">
        <f aca="false">dummy_variables!J207</f>
        <v>0</v>
      </c>
    </row>
    <row r="210" customFormat="false" ht="15" hidden="false" customHeight="true" outlineLevel="0" collapsed="false">
      <c r="A210" s="1" t="n">
        <v>204</v>
      </c>
      <c r="B210" s="1" t="n">
        <f aca="false">cleaned_data!F205</f>
        <v>6015</v>
      </c>
      <c r="C210" s="1" t="n">
        <f aca="false">cleaned_data!E205</f>
        <v>64104.28</v>
      </c>
      <c r="D210" s="1" t="n">
        <f aca="false">cleaned_data!H205</f>
        <v>15</v>
      </c>
      <c r="E210" s="1" t="n">
        <f aca="false">cleaned_data!I205</f>
        <v>88.7</v>
      </c>
      <c r="F210" s="1" t="n">
        <f aca="false">cleaned_data!G205</f>
        <v>0.127</v>
      </c>
      <c r="G210" s="1" t="n">
        <f aca="false">cleaned_data!K205</f>
        <v>0</v>
      </c>
      <c r="H210" s="1" t="n">
        <f aca="false">dummy_variables!E208</f>
        <v>0</v>
      </c>
      <c r="I210" s="1" t="n">
        <f aca="false">dummy_variables!F208</f>
        <v>0</v>
      </c>
      <c r="J210" s="1" t="n">
        <f aca="false">dummy_variables!G208</f>
        <v>1</v>
      </c>
      <c r="K210" s="1" t="n">
        <f aca="false">dummy_variables!H208</f>
        <v>0</v>
      </c>
      <c r="L210" s="1" t="n">
        <f aca="false">dummy_variables!I208</f>
        <v>0</v>
      </c>
      <c r="M210" s="1" t="n">
        <f aca="false">dummy_variables!J208</f>
        <v>0</v>
      </c>
    </row>
    <row r="211" customFormat="false" ht="15" hidden="false" customHeight="true" outlineLevel="0" collapsed="false">
      <c r="A211" s="1" t="n">
        <v>205</v>
      </c>
      <c r="B211" s="1" t="n">
        <f aca="false">cleaned_data!F206</f>
        <v>9476</v>
      </c>
      <c r="C211" s="1" t="n">
        <f aca="false">cleaned_data!E206</f>
        <v>92090.14</v>
      </c>
      <c r="D211" s="1" t="n">
        <f aca="false">cleaned_data!H206</f>
        <v>24</v>
      </c>
      <c r="E211" s="1" t="n">
        <f aca="false">cleaned_data!I206</f>
        <v>94.3</v>
      </c>
      <c r="F211" s="1" t="n">
        <f aca="false">cleaned_data!G206</f>
        <v>0.07</v>
      </c>
      <c r="G211" s="1" t="n">
        <f aca="false">cleaned_data!K206</f>
        <v>0</v>
      </c>
      <c r="H211" s="1" t="n">
        <f aca="false">dummy_variables!E209</f>
        <v>1</v>
      </c>
      <c r="I211" s="1" t="n">
        <f aca="false">dummy_variables!F209</f>
        <v>0</v>
      </c>
      <c r="J211" s="1" t="n">
        <f aca="false">dummy_variables!G209</f>
        <v>0</v>
      </c>
      <c r="K211" s="1" t="n">
        <f aca="false">dummy_variables!H209</f>
        <v>0</v>
      </c>
      <c r="L211" s="1" t="n">
        <f aca="false">dummy_variables!I209</f>
        <v>0</v>
      </c>
      <c r="M211" s="1" t="n">
        <f aca="false">dummy_variables!J209</f>
        <v>0</v>
      </c>
    </row>
    <row r="212" customFormat="false" ht="15" hidden="false" customHeight="true" outlineLevel="0" collapsed="false">
      <c r="A212" s="1" t="n">
        <v>206</v>
      </c>
      <c r="B212" s="1" t="n">
        <f aca="false">cleaned_data!F207</f>
        <v>7875</v>
      </c>
      <c r="C212" s="1" t="n">
        <f aca="false">cleaned_data!E207</f>
        <v>54300.87</v>
      </c>
      <c r="D212" s="1" t="n">
        <f aca="false">cleaned_data!H207</f>
        <v>19</v>
      </c>
      <c r="E212" s="1" t="n">
        <f aca="false">cleaned_data!I207</f>
        <v>94.1</v>
      </c>
      <c r="F212" s="1" t="n">
        <f aca="false">cleaned_data!G207</f>
        <v>0.107</v>
      </c>
      <c r="G212" s="1" t="n">
        <f aca="false">cleaned_data!K207</f>
        <v>0</v>
      </c>
      <c r="H212" s="1" t="n">
        <f aca="false">dummy_variables!E210</f>
        <v>1</v>
      </c>
      <c r="I212" s="1" t="n">
        <f aca="false">dummy_variables!F210</f>
        <v>0</v>
      </c>
      <c r="J212" s="1" t="n">
        <f aca="false">dummy_variables!G210</f>
        <v>0</v>
      </c>
      <c r="K212" s="1" t="n">
        <f aca="false">dummy_variables!H210</f>
        <v>0</v>
      </c>
      <c r="L212" s="1" t="n">
        <f aca="false">dummy_variables!I210</f>
        <v>0</v>
      </c>
      <c r="M212" s="1" t="n">
        <f aca="false">dummy_variables!J210</f>
        <v>0</v>
      </c>
    </row>
    <row r="213" customFormat="false" ht="15" hidden="false" customHeight="true" outlineLevel="0" collapsed="false">
      <c r="A213" s="1" t="n">
        <v>207</v>
      </c>
      <c r="B213" s="1" t="n">
        <f aca="false">cleaned_data!F208</f>
        <v>9283</v>
      </c>
      <c r="C213" s="1" t="n">
        <f aca="false">cleaned_data!E208</f>
        <v>37983.35</v>
      </c>
      <c r="D213" s="1" t="n">
        <f aca="false">cleaned_data!H208</f>
        <v>19</v>
      </c>
      <c r="E213" s="1" t="n">
        <f aca="false">cleaned_data!I208</f>
        <v>83.2</v>
      </c>
      <c r="F213" s="1" t="n">
        <f aca="false">cleaned_data!G208</f>
        <v>0.149</v>
      </c>
      <c r="G213" s="1" t="n">
        <f aca="false">cleaned_data!K208</f>
        <v>0</v>
      </c>
      <c r="H213" s="1" t="n">
        <f aca="false">dummy_variables!E211</f>
        <v>1</v>
      </c>
      <c r="I213" s="1" t="n">
        <f aca="false">dummy_variables!F211</f>
        <v>0</v>
      </c>
      <c r="J213" s="1" t="n">
        <f aca="false">dummy_variables!G211</f>
        <v>0</v>
      </c>
      <c r="K213" s="1" t="n">
        <f aca="false">dummy_variables!H211</f>
        <v>0</v>
      </c>
      <c r="L213" s="1" t="n">
        <f aca="false">dummy_variables!I211</f>
        <v>0</v>
      </c>
      <c r="M213" s="1" t="n">
        <f aca="false">dummy_variables!J211</f>
        <v>0</v>
      </c>
    </row>
    <row r="214" customFormat="false" ht="15" hidden="false" customHeight="true" outlineLevel="0" collapsed="false">
      <c r="A214" s="1" t="n">
        <v>208</v>
      </c>
      <c r="B214" s="1" t="n">
        <f aca="false">cleaned_data!F209</f>
        <v>8303</v>
      </c>
      <c r="C214" s="1" t="n">
        <f aca="false">cleaned_data!E209</f>
        <v>56413.83</v>
      </c>
      <c r="D214" s="1" t="n">
        <f aca="false">cleaned_data!H209</f>
        <v>18</v>
      </c>
      <c r="E214" s="1" t="n">
        <f aca="false">cleaned_data!I209</f>
        <v>93.6</v>
      </c>
      <c r="F214" s="1" t="n">
        <f aca="false">cleaned_data!G209</f>
        <v>0.116</v>
      </c>
      <c r="G214" s="1" t="n">
        <f aca="false">cleaned_data!K209</f>
        <v>0</v>
      </c>
      <c r="H214" s="1" t="n">
        <f aca="false">dummy_variables!E212</f>
        <v>1</v>
      </c>
      <c r="I214" s="1" t="n">
        <f aca="false">dummy_variables!F212</f>
        <v>0</v>
      </c>
      <c r="J214" s="1" t="n">
        <f aca="false">dummy_variables!G212</f>
        <v>0</v>
      </c>
      <c r="K214" s="1" t="n">
        <f aca="false">dummy_variables!H212</f>
        <v>0</v>
      </c>
      <c r="L214" s="1" t="n">
        <f aca="false">dummy_variables!I212</f>
        <v>0</v>
      </c>
      <c r="M214" s="1" t="n">
        <f aca="false">dummy_variables!J212</f>
        <v>0</v>
      </c>
    </row>
    <row r="215" customFormat="false" ht="15" hidden="false" customHeight="true" outlineLevel="0" collapsed="false">
      <c r="A215" s="1" t="n">
        <v>209</v>
      </c>
      <c r="B215" s="1" t="n">
        <f aca="false">cleaned_data!F210</f>
        <v>10125</v>
      </c>
      <c r="C215" s="1" t="n">
        <f aca="false">cleaned_data!E210</f>
        <v>63457.19</v>
      </c>
      <c r="D215" s="1" t="n">
        <f aca="false">cleaned_data!H210</f>
        <v>24</v>
      </c>
      <c r="E215" s="1" t="n">
        <f aca="false">cleaned_data!I210</f>
        <v>87</v>
      </c>
      <c r="F215" s="1" t="n">
        <f aca="false">cleaned_data!G210</f>
        <v>0.097</v>
      </c>
      <c r="G215" s="1" t="n">
        <f aca="false">cleaned_data!K210</f>
        <v>1</v>
      </c>
      <c r="H215" s="1" t="n">
        <f aca="false">dummy_variables!E213</f>
        <v>0</v>
      </c>
      <c r="I215" s="1" t="n">
        <f aca="false">dummy_variables!F213</f>
        <v>0</v>
      </c>
      <c r="J215" s="1" t="n">
        <f aca="false">dummy_variables!G213</f>
        <v>0</v>
      </c>
      <c r="K215" s="1" t="n">
        <f aca="false">dummy_variables!H213</f>
        <v>0</v>
      </c>
      <c r="L215" s="1" t="n">
        <f aca="false">dummy_variables!I213</f>
        <v>0</v>
      </c>
      <c r="M215" s="1" t="n">
        <f aca="false">dummy_variables!J213</f>
        <v>0</v>
      </c>
    </row>
    <row r="216" customFormat="false" ht="15" hidden="false" customHeight="true" outlineLevel="0" collapsed="false">
      <c r="A216" s="1" t="n">
        <v>210</v>
      </c>
      <c r="B216" s="1" t="n">
        <f aca="false">cleaned_data!F211</f>
        <v>9458</v>
      </c>
      <c r="C216" s="1" t="n">
        <f aca="false">cleaned_data!E211</f>
        <v>62949.7</v>
      </c>
      <c r="D216" s="1" t="n">
        <f aca="false">cleaned_data!H211</f>
        <v>19</v>
      </c>
      <c r="E216" s="1" t="n">
        <f aca="false">cleaned_data!I211</f>
        <v>84.9</v>
      </c>
      <c r="F216" s="1" t="n">
        <f aca="false">cleaned_data!G211</f>
        <v>0.171</v>
      </c>
      <c r="G216" s="1" t="n">
        <f aca="false">cleaned_data!K211</f>
        <v>0</v>
      </c>
      <c r="H216" s="1" t="n">
        <f aca="false">dummy_variables!E214</f>
        <v>0</v>
      </c>
      <c r="I216" s="1" t="n">
        <f aca="false">dummy_variables!F214</f>
        <v>0</v>
      </c>
      <c r="J216" s="1" t="n">
        <f aca="false">dummy_variables!G214</f>
        <v>0</v>
      </c>
      <c r="K216" s="1" t="n">
        <f aca="false">dummy_variables!H214</f>
        <v>0</v>
      </c>
      <c r="L216" s="1" t="n">
        <f aca="false">dummy_variables!I214</f>
        <v>0</v>
      </c>
      <c r="M216" s="1" t="n">
        <f aca="false">dummy_variables!J214</f>
        <v>0</v>
      </c>
    </row>
    <row r="217" customFormat="false" ht="15" hidden="false" customHeight="true" outlineLevel="0" collapsed="false">
      <c r="A217" s="1" t="n">
        <v>211</v>
      </c>
      <c r="B217" s="1" t="n">
        <f aca="false">cleaned_data!F212</f>
        <v>12870</v>
      </c>
      <c r="C217" s="1" t="n">
        <f aca="false">cleaned_data!E212</f>
        <v>107970.19</v>
      </c>
      <c r="D217" s="1" t="n">
        <f aca="false">cleaned_data!H212</f>
        <v>31</v>
      </c>
      <c r="E217" s="1" t="n">
        <f aca="false">cleaned_data!I212</f>
        <v>91.7</v>
      </c>
      <c r="F217" s="1" t="n">
        <f aca="false">cleaned_data!G212</f>
        <v>0.029</v>
      </c>
      <c r="G217" s="1" t="n">
        <f aca="false">cleaned_data!K212</f>
        <v>1</v>
      </c>
      <c r="H217" s="1" t="n">
        <f aca="false">dummy_variables!E215</f>
        <v>0</v>
      </c>
      <c r="I217" s="1" t="n">
        <f aca="false">dummy_variables!F215</f>
        <v>0</v>
      </c>
      <c r="J217" s="1" t="n">
        <f aca="false">dummy_variables!G215</f>
        <v>0</v>
      </c>
      <c r="K217" s="1" t="n">
        <f aca="false">dummy_variables!H215</f>
        <v>0</v>
      </c>
      <c r="L217" s="1" t="n">
        <f aca="false">dummy_variables!I215</f>
        <v>0</v>
      </c>
      <c r="M217" s="1" t="n">
        <f aca="false">dummy_variables!J215</f>
        <v>0</v>
      </c>
    </row>
    <row r="218" customFormat="false" ht="15" hidden="false" customHeight="true" outlineLevel="0" collapsed="false">
      <c r="A218" s="1" t="n">
        <v>212</v>
      </c>
      <c r="B218" s="1" t="n">
        <f aca="false">cleaned_data!F213</f>
        <v>9752</v>
      </c>
      <c r="C218" s="1" t="n">
        <f aca="false">cleaned_data!E213</f>
        <v>49405.75</v>
      </c>
      <c r="D218" s="1" t="n">
        <f aca="false">cleaned_data!H213</f>
        <v>21</v>
      </c>
      <c r="E218" s="1" t="n">
        <f aca="false">cleaned_data!I213</f>
        <v>87</v>
      </c>
      <c r="F218" s="1" t="n">
        <f aca="false">cleaned_data!G213</f>
        <v>0.093</v>
      </c>
      <c r="G218" s="1" t="n">
        <f aca="false">cleaned_data!K213</f>
        <v>0</v>
      </c>
      <c r="H218" s="1" t="n">
        <f aca="false">dummy_variables!E216</f>
        <v>0</v>
      </c>
      <c r="I218" s="1" t="n">
        <f aca="false">dummy_variables!F216</f>
        <v>0</v>
      </c>
      <c r="J218" s="1" t="n">
        <f aca="false">dummy_variables!G216</f>
        <v>0</v>
      </c>
      <c r="K218" s="1" t="n">
        <f aca="false">dummy_variables!H216</f>
        <v>0</v>
      </c>
      <c r="L218" s="1" t="n">
        <f aca="false">dummy_variables!I216</f>
        <v>0</v>
      </c>
      <c r="M218" s="1" t="n">
        <f aca="false">dummy_variables!J216</f>
        <v>0</v>
      </c>
    </row>
    <row r="219" customFormat="false" ht="15" hidden="false" customHeight="true" outlineLevel="0" collapsed="false">
      <c r="A219" s="1" t="n">
        <v>213</v>
      </c>
      <c r="B219" s="1" t="n">
        <f aca="false">cleaned_data!F214</f>
        <v>9505</v>
      </c>
      <c r="C219" s="1" t="n">
        <f aca="false">cleaned_data!E214</f>
        <v>50887.46</v>
      </c>
      <c r="D219" s="1" t="n">
        <f aca="false">cleaned_data!H214</f>
        <v>25</v>
      </c>
      <c r="E219" s="1" t="n">
        <f aca="false">cleaned_data!I214</f>
        <v>89.7</v>
      </c>
      <c r="F219" s="1" t="n">
        <f aca="false">cleaned_data!G214</f>
        <v>0.091</v>
      </c>
      <c r="G219" s="1" t="n">
        <f aca="false">cleaned_data!K214</f>
        <v>0</v>
      </c>
      <c r="H219" s="1" t="n">
        <f aca="false">dummy_variables!E217</f>
        <v>0</v>
      </c>
      <c r="I219" s="1" t="n">
        <f aca="false">dummy_variables!F217</f>
        <v>1</v>
      </c>
      <c r="J219" s="1" t="n">
        <f aca="false">dummy_variables!G217</f>
        <v>0</v>
      </c>
      <c r="K219" s="1" t="n">
        <f aca="false">dummy_variables!H217</f>
        <v>0</v>
      </c>
      <c r="L219" s="1" t="n">
        <f aca="false">dummy_variables!I217</f>
        <v>0</v>
      </c>
      <c r="M219" s="1" t="n">
        <f aca="false">dummy_variables!J217</f>
        <v>1</v>
      </c>
    </row>
    <row r="220" customFormat="false" ht="15" hidden="false" customHeight="true" outlineLevel="0" collapsed="false">
      <c r="A220" s="1" t="n">
        <v>214</v>
      </c>
      <c r="B220" s="1" t="n">
        <f aca="false">cleaned_data!F215</f>
        <v>9412</v>
      </c>
      <c r="C220" s="1" t="n">
        <f aca="false">cleaned_data!E215</f>
        <v>41819.45</v>
      </c>
      <c r="D220" s="1" t="n">
        <f aca="false">cleaned_data!H215</f>
        <v>22</v>
      </c>
      <c r="E220" s="1" t="n">
        <f aca="false">cleaned_data!I215</f>
        <v>91</v>
      </c>
      <c r="F220" s="1" t="n">
        <f aca="false">cleaned_data!G215</f>
        <v>0.15</v>
      </c>
      <c r="G220" s="1" t="n">
        <f aca="false">cleaned_data!K215</f>
        <v>0</v>
      </c>
      <c r="H220" s="1" t="n">
        <f aca="false">dummy_variables!E218</f>
        <v>0</v>
      </c>
      <c r="I220" s="1" t="n">
        <f aca="false">dummy_variables!F218</f>
        <v>1</v>
      </c>
      <c r="J220" s="1" t="n">
        <f aca="false">dummy_variables!G218</f>
        <v>0</v>
      </c>
      <c r="K220" s="1" t="n">
        <f aca="false">dummy_variables!H218</f>
        <v>0</v>
      </c>
      <c r="L220" s="1" t="n">
        <f aca="false">dummy_variables!I218</f>
        <v>0</v>
      </c>
      <c r="M220" s="1" t="n">
        <f aca="false">dummy_variables!J218</f>
        <v>1</v>
      </c>
    </row>
    <row r="221" customFormat="false" ht="15" hidden="false" customHeight="true" outlineLevel="0" collapsed="false">
      <c r="A221" s="1" t="n">
        <v>215</v>
      </c>
      <c r="B221" s="1" t="n">
        <f aca="false">cleaned_data!F216</f>
        <v>9644</v>
      </c>
      <c r="C221" s="1" t="n">
        <f aca="false">cleaned_data!E216</f>
        <v>35296.54</v>
      </c>
      <c r="D221" s="1" t="n">
        <f aca="false">cleaned_data!H216</f>
        <v>22</v>
      </c>
      <c r="E221" s="1" t="n">
        <f aca="false">cleaned_data!I216</f>
        <v>88</v>
      </c>
      <c r="F221" s="1" t="n">
        <f aca="false">cleaned_data!G216</f>
        <v>0</v>
      </c>
      <c r="G221" s="1" t="n">
        <f aca="false">cleaned_data!K216</f>
        <v>0</v>
      </c>
      <c r="H221" s="1" t="n">
        <f aca="false">dummy_variables!E219</f>
        <v>0</v>
      </c>
      <c r="I221" s="1" t="n">
        <f aca="false">dummy_variables!F219</f>
        <v>1</v>
      </c>
      <c r="J221" s="1" t="n">
        <f aca="false">dummy_variables!G219</f>
        <v>0</v>
      </c>
      <c r="K221" s="1" t="n">
        <f aca="false">dummy_variables!H219</f>
        <v>0</v>
      </c>
      <c r="L221" s="1" t="n">
        <f aca="false">dummy_variables!I219</f>
        <v>0</v>
      </c>
      <c r="M221" s="1" t="n">
        <f aca="false">dummy_variables!J219</f>
        <v>1</v>
      </c>
    </row>
    <row r="222" customFormat="false" ht="15" hidden="false" customHeight="true" outlineLevel="0" collapsed="false">
      <c r="A222" s="1" t="n">
        <v>216</v>
      </c>
      <c r="B222" s="1" t="n">
        <f aca="false">cleaned_data!F217</f>
        <v>11224</v>
      </c>
      <c r="C222" s="1" t="n">
        <f aca="false">cleaned_data!E217</f>
        <v>47391.09</v>
      </c>
      <c r="D222" s="1" t="n">
        <f aca="false">cleaned_data!H217</f>
        <v>25</v>
      </c>
      <c r="E222" s="1" t="n">
        <f aca="false">cleaned_data!I217</f>
        <v>88.4</v>
      </c>
      <c r="F222" s="1" t="n">
        <f aca="false">cleaned_data!G217</f>
        <v>0.147</v>
      </c>
      <c r="G222" s="1" t="n">
        <f aca="false">cleaned_data!K217</f>
        <v>0</v>
      </c>
      <c r="H222" s="1" t="n">
        <f aca="false">dummy_variables!E220</f>
        <v>0</v>
      </c>
      <c r="I222" s="1" t="n">
        <f aca="false">dummy_variables!F220</f>
        <v>1</v>
      </c>
      <c r="J222" s="1" t="n">
        <f aca="false">dummy_variables!G220</f>
        <v>0</v>
      </c>
      <c r="K222" s="1" t="n">
        <f aca="false">dummy_variables!H220</f>
        <v>0</v>
      </c>
      <c r="L222" s="1" t="n">
        <f aca="false">dummy_variables!I220</f>
        <v>0</v>
      </c>
      <c r="M222" s="1" t="n">
        <f aca="false">dummy_variables!J220</f>
        <v>1</v>
      </c>
    </row>
    <row r="223" customFormat="false" ht="15" hidden="false" customHeight="true" outlineLevel="0" collapsed="false">
      <c r="A223" s="1" t="n">
        <v>217</v>
      </c>
      <c r="B223" s="1" t="n">
        <f aca="false">cleaned_data!F218</f>
        <v>5394</v>
      </c>
      <c r="C223" s="1" t="n">
        <f aca="false">cleaned_data!E218</f>
        <v>69180.54</v>
      </c>
      <c r="D223" s="1" t="n">
        <f aca="false">cleaned_data!H218</f>
        <v>12</v>
      </c>
      <c r="E223" s="1" t="n">
        <f aca="false">cleaned_data!I218</f>
        <v>82.9</v>
      </c>
      <c r="F223" s="1" t="n">
        <f aca="false">cleaned_data!G218</f>
        <v>0.126</v>
      </c>
      <c r="G223" s="1" t="n">
        <f aca="false">cleaned_data!K218</f>
        <v>0</v>
      </c>
      <c r="H223" s="1" t="n">
        <f aca="false">dummy_variables!E221</f>
        <v>0</v>
      </c>
      <c r="I223" s="1" t="n">
        <f aca="false">dummy_variables!F221</f>
        <v>0</v>
      </c>
      <c r="J223" s="1" t="n">
        <f aca="false">dummy_variables!G221</f>
        <v>1</v>
      </c>
      <c r="K223" s="1" t="n">
        <f aca="false">dummy_variables!H221</f>
        <v>1</v>
      </c>
      <c r="L223" s="1" t="n">
        <f aca="false">dummy_variables!I221</f>
        <v>0</v>
      </c>
      <c r="M223" s="1" t="n">
        <f aca="false">dummy_variables!J221</f>
        <v>0</v>
      </c>
    </row>
    <row r="224" customFormat="false" ht="15" hidden="false" customHeight="true" outlineLevel="0" collapsed="false">
      <c r="A224" s="1" t="n">
        <v>218</v>
      </c>
      <c r="B224" s="1" t="n">
        <f aca="false">cleaned_data!F219</f>
        <v>5014</v>
      </c>
      <c r="C224" s="1" t="n">
        <f aca="false">cleaned_data!E219</f>
        <v>33987.33</v>
      </c>
      <c r="D224" s="1" t="n">
        <f aca="false">cleaned_data!H219</f>
        <v>17</v>
      </c>
      <c r="E224" s="1" t="n">
        <f aca="false">cleaned_data!I219</f>
        <v>94.3</v>
      </c>
      <c r="F224" s="1" t="n">
        <f aca="false">cleaned_data!G219</f>
        <v>0.246</v>
      </c>
      <c r="G224" s="1" t="n">
        <f aca="false">cleaned_data!K219</f>
        <v>0</v>
      </c>
      <c r="H224" s="1" t="n">
        <f aca="false">dummy_variables!E222</f>
        <v>0</v>
      </c>
      <c r="I224" s="1" t="n">
        <f aca="false">dummy_variables!F222</f>
        <v>0</v>
      </c>
      <c r="J224" s="1" t="n">
        <f aca="false">dummy_variables!G222</f>
        <v>1</v>
      </c>
      <c r="K224" s="1" t="n">
        <f aca="false">dummy_variables!H222</f>
        <v>1</v>
      </c>
      <c r="L224" s="1" t="n">
        <f aca="false">dummy_variables!I222</f>
        <v>0</v>
      </c>
      <c r="M224" s="1" t="n">
        <f aca="false">dummy_variables!J222</f>
        <v>0</v>
      </c>
    </row>
    <row r="225" customFormat="false" ht="15" hidden="false" customHeight="true" outlineLevel="0" collapsed="false">
      <c r="A225" s="1" t="n">
        <v>219</v>
      </c>
      <c r="B225" s="1" t="n">
        <f aca="false">cleaned_data!F220</f>
        <v>4467</v>
      </c>
      <c r="C225" s="1" t="n">
        <f aca="false">cleaned_data!E220</f>
        <v>58785.33</v>
      </c>
      <c r="D225" s="1" t="n">
        <f aca="false">cleaned_data!H220</f>
        <v>14</v>
      </c>
      <c r="E225" s="1" t="n">
        <f aca="false">cleaned_data!I220</f>
        <v>90.7</v>
      </c>
      <c r="F225" s="1" t="n">
        <f aca="false">cleaned_data!G220</f>
        <v>0.229</v>
      </c>
      <c r="G225" s="1" t="n">
        <f aca="false">cleaned_data!K220</f>
        <v>0</v>
      </c>
      <c r="H225" s="1" t="n">
        <f aca="false">dummy_variables!E223</f>
        <v>0</v>
      </c>
      <c r="I225" s="1" t="n">
        <f aca="false">dummy_variables!F223</f>
        <v>0</v>
      </c>
      <c r="J225" s="1" t="n">
        <f aca="false">dummy_variables!G223</f>
        <v>1</v>
      </c>
      <c r="K225" s="1" t="n">
        <f aca="false">dummy_variables!H223</f>
        <v>1</v>
      </c>
      <c r="L225" s="1" t="n">
        <f aca="false">dummy_variables!I223</f>
        <v>0</v>
      </c>
      <c r="M225" s="1" t="n">
        <f aca="false">dummy_variables!J223</f>
        <v>0</v>
      </c>
    </row>
    <row r="226" customFormat="false" ht="15" hidden="false" customHeight="true" outlineLevel="0" collapsed="false">
      <c r="A226" s="1" t="n">
        <v>220</v>
      </c>
      <c r="B226" s="1" t="n">
        <f aca="false">cleaned_data!F221</f>
        <v>4678</v>
      </c>
      <c r="C226" s="1" t="n">
        <f aca="false">cleaned_data!E221</f>
        <v>16451.85</v>
      </c>
      <c r="D226" s="1" t="n">
        <f aca="false">cleaned_data!H221</f>
        <v>11</v>
      </c>
      <c r="E226" s="1" t="n">
        <f aca="false">cleaned_data!I221</f>
        <v>95.9</v>
      </c>
      <c r="F226" s="1" t="n">
        <f aca="false">cleaned_data!G221</f>
        <v>0.133</v>
      </c>
      <c r="G226" s="1" t="n">
        <f aca="false">cleaned_data!K221</f>
        <v>0</v>
      </c>
      <c r="H226" s="1" t="n">
        <f aca="false">dummy_variables!E224</f>
        <v>0</v>
      </c>
      <c r="I226" s="1" t="n">
        <f aca="false">dummy_variables!F224</f>
        <v>0</v>
      </c>
      <c r="J226" s="1" t="n">
        <f aca="false">dummy_variables!G224</f>
        <v>1</v>
      </c>
      <c r="K226" s="1" t="n">
        <f aca="false">dummy_variables!H224</f>
        <v>1</v>
      </c>
      <c r="L226" s="1" t="n">
        <f aca="false">dummy_variables!I224</f>
        <v>0</v>
      </c>
      <c r="M226" s="1" t="n">
        <f aca="false">dummy_variables!J224</f>
        <v>0</v>
      </c>
    </row>
    <row r="227" customFormat="false" ht="15" hidden="false" customHeight="true" outlineLevel="0" collapsed="false">
      <c r="A227" s="1" t="n">
        <v>221</v>
      </c>
      <c r="B227" s="1" t="n">
        <f aca="false">cleaned_data!F222</f>
        <v>7291</v>
      </c>
      <c r="C227" s="1" t="n">
        <f aca="false">cleaned_data!E222</f>
        <v>53367.73</v>
      </c>
      <c r="D227" s="1" t="n">
        <f aca="false">cleaned_data!H222</f>
        <v>18</v>
      </c>
      <c r="E227" s="1" t="n">
        <f aca="false">cleaned_data!I222</f>
        <v>90.6</v>
      </c>
      <c r="F227" s="1" t="n">
        <f aca="false">cleaned_data!G222</f>
        <v>0.146</v>
      </c>
      <c r="G227" s="1" t="n">
        <f aca="false">cleaned_data!K222</f>
        <v>1</v>
      </c>
      <c r="H227" s="1" t="n">
        <f aca="false">dummy_variables!E225</f>
        <v>0</v>
      </c>
      <c r="I227" s="1" t="n">
        <f aca="false">dummy_variables!F225</f>
        <v>0</v>
      </c>
      <c r="J227" s="1" t="n">
        <f aca="false">dummy_variables!G225</f>
        <v>0</v>
      </c>
      <c r="K227" s="1" t="n">
        <f aca="false">dummy_variables!H225</f>
        <v>0</v>
      </c>
      <c r="L227" s="1" t="n">
        <f aca="false">dummy_variables!I225</f>
        <v>0</v>
      </c>
      <c r="M227" s="1" t="n">
        <f aca="false">dummy_variables!J225</f>
        <v>0</v>
      </c>
    </row>
    <row r="228" customFormat="false" ht="15" hidden="false" customHeight="true" outlineLevel="0" collapsed="false">
      <c r="A228" s="1" t="n">
        <v>222</v>
      </c>
      <c r="B228" s="1" t="n">
        <f aca="false">cleaned_data!F223</f>
        <v>7404</v>
      </c>
      <c r="C228" s="1" t="n">
        <f aca="false">cleaned_data!E223</f>
        <v>27194.64</v>
      </c>
      <c r="D228" s="1" t="n">
        <f aca="false">cleaned_data!H223</f>
        <v>18</v>
      </c>
      <c r="E228" s="1" t="n">
        <f aca="false">cleaned_data!I223</f>
        <v>90.2</v>
      </c>
      <c r="F228" s="1" t="n">
        <f aca="false">cleaned_data!G223</f>
        <v>0.088</v>
      </c>
      <c r="G228" s="1" t="n">
        <f aca="false">cleaned_data!K223</f>
        <v>0</v>
      </c>
      <c r="H228" s="1" t="n">
        <f aca="false">dummy_variables!E226</f>
        <v>0</v>
      </c>
      <c r="I228" s="1" t="n">
        <f aca="false">dummy_variables!F226</f>
        <v>0</v>
      </c>
      <c r="J228" s="1" t="n">
        <f aca="false">dummy_variables!G226</f>
        <v>0</v>
      </c>
      <c r="K228" s="1" t="n">
        <f aca="false">dummy_variables!H226</f>
        <v>0</v>
      </c>
      <c r="L228" s="1" t="n">
        <f aca="false">dummy_variables!I226</f>
        <v>0</v>
      </c>
      <c r="M228" s="1" t="n">
        <f aca="false">dummy_variables!J226</f>
        <v>0</v>
      </c>
    </row>
    <row r="229" customFormat="false" ht="15" hidden="false" customHeight="true" outlineLevel="0" collapsed="false">
      <c r="A229" s="1" t="n">
        <v>223</v>
      </c>
      <c r="B229" s="1" t="n">
        <f aca="false">cleaned_data!F224</f>
        <v>7880</v>
      </c>
      <c r="C229" s="1" t="n">
        <f aca="false">cleaned_data!E224</f>
        <v>66962.74</v>
      </c>
      <c r="D229" s="1" t="n">
        <f aca="false">cleaned_data!H224</f>
        <v>19</v>
      </c>
      <c r="E229" s="1" t="n">
        <f aca="false">cleaned_data!I224</f>
        <v>90.4</v>
      </c>
      <c r="F229" s="1" t="n">
        <f aca="false">cleaned_data!G224</f>
        <v>0.116</v>
      </c>
      <c r="G229" s="1" t="n">
        <f aca="false">cleaned_data!K224</f>
        <v>0</v>
      </c>
      <c r="H229" s="1" t="n">
        <f aca="false">dummy_variables!E227</f>
        <v>0</v>
      </c>
      <c r="I229" s="1" t="n">
        <f aca="false">dummy_variables!F227</f>
        <v>0</v>
      </c>
      <c r="J229" s="1" t="n">
        <f aca="false">dummy_variables!G227</f>
        <v>0</v>
      </c>
      <c r="K229" s="1" t="n">
        <f aca="false">dummy_variables!H227</f>
        <v>0</v>
      </c>
      <c r="L229" s="1" t="n">
        <f aca="false">dummy_variables!I227</f>
        <v>0</v>
      </c>
      <c r="M229" s="1" t="n">
        <f aca="false">dummy_variables!J227</f>
        <v>0</v>
      </c>
    </row>
    <row r="230" customFormat="false" ht="15" hidden="false" customHeight="true" outlineLevel="0" collapsed="false">
      <c r="A230" s="1" t="n">
        <v>224</v>
      </c>
      <c r="B230" s="1" t="n">
        <f aca="false">cleaned_data!F225</f>
        <v>8773</v>
      </c>
      <c r="C230" s="1" t="n">
        <f aca="false">cleaned_data!E225</f>
        <v>73540.99</v>
      </c>
      <c r="D230" s="1" t="n">
        <f aca="false">cleaned_data!H225</f>
        <v>21</v>
      </c>
      <c r="E230" s="1" t="n">
        <f aca="false">cleaned_data!I225</f>
        <v>84.4</v>
      </c>
      <c r="F230" s="1" t="n">
        <f aca="false">cleaned_data!G225</f>
        <v>0.035</v>
      </c>
      <c r="G230" s="1" t="n">
        <f aca="false">cleaned_data!K225</f>
        <v>0</v>
      </c>
      <c r="H230" s="1" t="n">
        <f aca="false">dummy_variables!E228</f>
        <v>0</v>
      </c>
      <c r="I230" s="1" t="n">
        <f aca="false">dummy_variables!F228</f>
        <v>0</v>
      </c>
      <c r="J230" s="1" t="n">
        <f aca="false">dummy_variables!G228</f>
        <v>0</v>
      </c>
      <c r="K230" s="1" t="n">
        <f aca="false">dummy_variables!H228</f>
        <v>0</v>
      </c>
      <c r="L230" s="1" t="n">
        <f aca="false">dummy_variables!I228</f>
        <v>0</v>
      </c>
      <c r="M230" s="1" t="n">
        <f aca="false">dummy_variables!J228</f>
        <v>0</v>
      </c>
    </row>
    <row r="231" customFormat="false" ht="15" hidden="false" customHeight="true" outlineLevel="0" collapsed="false">
      <c r="A231" s="1" t="n">
        <v>225</v>
      </c>
      <c r="B231" s="1" t="n">
        <f aca="false">cleaned_data!F226</f>
        <v>4713</v>
      </c>
      <c r="C231" s="1" t="n">
        <f aca="false">cleaned_data!E226</f>
        <v>68212.29</v>
      </c>
      <c r="D231" s="1" t="n">
        <f aca="false">cleaned_data!H226</f>
        <v>15</v>
      </c>
      <c r="E231" s="1" t="n">
        <f aca="false">cleaned_data!I226</f>
        <v>82.6</v>
      </c>
      <c r="F231" s="1" t="n">
        <f aca="false">cleaned_data!G226</f>
        <v>0.198</v>
      </c>
      <c r="G231" s="1" t="n">
        <f aca="false">cleaned_data!K226</f>
        <v>1</v>
      </c>
      <c r="H231" s="1" t="n">
        <f aca="false">dummy_variables!E229</f>
        <v>1</v>
      </c>
      <c r="I231" s="1" t="n">
        <f aca="false">dummy_variables!F229</f>
        <v>0</v>
      </c>
      <c r="J231" s="1" t="n">
        <f aca="false">dummy_variables!G229</f>
        <v>0</v>
      </c>
      <c r="K231" s="1" t="n">
        <f aca="false">dummy_variables!H229</f>
        <v>0</v>
      </c>
      <c r="L231" s="1" t="n">
        <f aca="false">dummy_variables!I229</f>
        <v>0</v>
      </c>
      <c r="M231" s="1" t="n">
        <f aca="false">dummy_variables!J229</f>
        <v>0</v>
      </c>
    </row>
    <row r="232" customFormat="false" ht="15" hidden="false" customHeight="true" outlineLevel="0" collapsed="false">
      <c r="A232" s="1" t="n">
        <v>226</v>
      </c>
      <c r="B232" s="1" t="n">
        <f aca="false">cleaned_data!F227</f>
        <v>2842</v>
      </c>
      <c r="C232" s="1" t="n">
        <f aca="false">cleaned_data!E227</f>
        <v>57225.98</v>
      </c>
      <c r="D232" s="1" t="n">
        <f aca="false">cleaned_data!H227</f>
        <v>10</v>
      </c>
      <c r="E232" s="1" t="n">
        <f aca="false">cleaned_data!I227</f>
        <v>79.5</v>
      </c>
      <c r="F232" s="1" t="n">
        <f aca="false">cleaned_data!G227</f>
        <v>0.112</v>
      </c>
      <c r="G232" s="1" t="n">
        <f aca="false">cleaned_data!K227</f>
        <v>0</v>
      </c>
      <c r="H232" s="1" t="n">
        <f aca="false">dummy_variables!E230</f>
        <v>1</v>
      </c>
      <c r="I232" s="1" t="n">
        <f aca="false">dummy_variables!F230</f>
        <v>0</v>
      </c>
      <c r="J232" s="1" t="n">
        <f aca="false">dummy_variables!G230</f>
        <v>0</v>
      </c>
      <c r="K232" s="1" t="n">
        <f aca="false">dummy_variables!H230</f>
        <v>0</v>
      </c>
      <c r="L232" s="1" t="n">
        <f aca="false">dummy_variables!I230</f>
        <v>0</v>
      </c>
      <c r="M232" s="1" t="n">
        <f aca="false">dummy_variables!J230</f>
        <v>0</v>
      </c>
    </row>
    <row r="233" customFormat="false" ht="15" hidden="false" customHeight="true" outlineLevel="0" collapsed="false">
      <c r="A233" s="1" t="n">
        <v>227</v>
      </c>
      <c r="B233" s="1" t="n">
        <f aca="false">cleaned_data!F228</f>
        <v>3872</v>
      </c>
      <c r="C233" s="1" t="n">
        <f aca="false">cleaned_data!E228</f>
        <v>42932.02</v>
      </c>
      <c r="D233" s="1" t="n">
        <f aca="false">cleaned_data!H228</f>
        <v>12</v>
      </c>
      <c r="E233" s="1" t="n">
        <f aca="false">cleaned_data!I228</f>
        <v>83.2</v>
      </c>
      <c r="F233" s="1" t="n">
        <f aca="false">cleaned_data!G228</f>
        <v>0.171</v>
      </c>
      <c r="G233" s="1" t="n">
        <f aca="false">cleaned_data!K228</f>
        <v>0</v>
      </c>
      <c r="H233" s="1" t="n">
        <f aca="false">dummy_variables!E231</f>
        <v>1</v>
      </c>
      <c r="I233" s="1" t="n">
        <f aca="false">dummy_variables!F231</f>
        <v>0</v>
      </c>
      <c r="J233" s="1" t="n">
        <f aca="false">dummy_variables!G231</f>
        <v>0</v>
      </c>
      <c r="K233" s="1" t="n">
        <f aca="false">dummy_variables!H231</f>
        <v>0</v>
      </c>
      <c r="L233" s="1" t="n">
        <f aca="false">dummy_variables!I231</f>
        <v>0</v>
      </c>
      <c r="M233" s="1" t="n">
        <f aca="false">dummy_variables!J231</f>
        <v>0</v>
      </c>
    </row>
    <row r="234" customFormat="false" ht="15" hidden="false" customHeight="true" outlineLevel="0" collapsed="false">
      <c r="A234" s="1" t="n">
        <v>228</v>
      </c>
      <c r="B234" s="1" t="n">
        <f aca="false">cleaned_data!F229</f>
        <v>1375</v>
      </c>
      <c r="C234" s="1" t="n">
        <f aca="false">cleaned_data!E229</f>
        <v>39341.45</v>
      </c>
      <c r="D234" s="1" t="n">
        <f aca="false">cleaned_data!H229</f>
        <v>5</v>
      </c>
      <c r="E234" s="1" t="n">
        <f aca="false">cleaned_data!I229</f>
        <v>95</v>
      </c>
      <c r="F234" s="1" t="n">
        <f aca="false">cleaned_data!G229</f>
        <v>0.093</v>
      </c>
      <c r="G234" s="1" t="n">
        <f aca="false">cleaned_data!K229</f>
        <v>0</v>
      </c>
      <c r="H234" s="1" t="n">
        <f aca="false">dummy_variables!E232</f>
        <v>1</v>
      </c>
      <c r="I234" s="1" t="n">
        <f aca="false">dummy_variables!F232</f>
        <v>0</v>
      </c>
      <c r="J234" s="1" t="n">
        <f aca="false">dummy_variables!G232</f>
        <v>0</v>
      </c>
      <c r="K234" s="1" t="n">
        <f aca="false">dummy_variables!H232</f>
        <v>0</v>
      </c>
      <c r="L234" s="1" t="n">
        <f aca="false">dummy_variables!I232</f>
        <v>0</v>
      </c>
      <c r="M234" s="1" t="n">
        <f aca="false">dummy_variables!J232</f>
        <v>0</v>
      </c>
    </row>
    <row r="235" customFormat="false" ht="15" hidden="false" customHeight="true" outlineLevel="0" collapsed="false">
      <c r="A235" s="1" t="n">
        <v>229</v>
      </c>
      <c r="B235" s="1" t="n">
        <f aca="false">cleaned_data!F230</f>
        <v>5957</v>
      </c>
      <c r="C235" s="1" t="n">
        <f aca="false">cleaned_data!E230</f>
        <v>37324.23</v>
      </c>
      <c r="D235" s="1" t="n">
        <f aca="false">cleaned_data!H230</f>
        <v>12</v>
      </c>
      <c r="E235" s="1" t="n">
        <f aca="false">cleaned_data!I230</f>
        <v>85.9</v>
      </c>
      <c r="F235" s="1" t="n">
        <f aca="false">cleaned_data!G230</f>
        <v>0.071</v>
      </c>
      <c r="G235" s="1" t="n">
        <f aca="false">cleaned_data!K230</f>
        <v>0</v>
      </c>
      <c r="H235" s="1" t="n">
        <f aca="false">dummy_variables!E233</f>
        <v>0</v>
      </c>
      <c r="I235" s="1" t="n">
        <f aca="false">dummy_variables!F233</f>
        <v>0</v>
      </c>
      <c r="J235" s="1" t="n">
        <f aca="false">dummy_variables!G233</f>
        <v>0</v>
      </c>
      <c r="K235" s="1" t="n">
        <f aca="false">dummy_variables!H233</f>
        <v>0</v>
      </c>
      <c r="L235" s="1" t="n">
        <f aca="false">dummy_variables!I233</f>
        <v>0</v>
      </c>
      <c r="M235" s="1" t="n">
        <f aca="false">dummy_variables!J233</f>
        <v>0</v>
      </c>
    </row>
    <row r="236" customFormat="false" ht="15" hidden="false" customHeight="true" outlineLevel="0" collapsed="false">
      <c r="A236" s="1" t="n">
        <v>230</v>
      </c>
      <c r="B236" s="1" t="n">
        <f aca="false">cleaned_data!F231</f>
        <v>8961</v>
      </c>
      <c r="C236" s="1" t="n">
        <f aca="false">cleaned_data!E231</f>
        <v>113736</v>
      </c>
      <c r="D236" s="1" t="n">
        <f aca="false">cleaned_data!H231</f>
        <v>24</v>
      </c>
      <c r="E236" s="1" t="n">
        <f aca="false">cleaned_data!I231</f>
        <v>86.2</v>
      </c>
      <c r="F236" s="1" t="n">
        <f aca="false">cleaned_data!G231</f>
        <v>0.202</v>
      </c>
      <c r="G236" s="1" t="n">
        <f aca="false">cleaned_data!K231</f>
        <v>0</v>
      </c>
      <c r="H236" s="1" t="n">
        <f aca="false">dummy_variables!E234</f>
        <v>0</v>
      </c>
      <c r="I236" s="1" t="n">
        <f aca="false">dummy_variables!F234</f>
        <v>0</v>
      </c>
      <c r="J236" s="1" t="n">
        <f aca="false">dummy_variables!G234</f>
        <v>0</v>
      </c>
      <c r="K236" s="1" t="n">
        <f aca="false">dummy_variables!H234</f>
        <v>0</v>
      </c>
      <c r="L236" s="1" t="n">
        <f aca="false">dummy_variables!I234</f>
        <v>0</v>
      </c>
      <c r="M236" s="1" t="n">
        <f aca="false">dummy_variables!J234</f>
        <v>0</v>
      </c>
    </row>
    <row r="237" customFormat="false" ht="15" hidden="false" customHeight="true" outlineLevel="0" collapsed="false">
      <c r="A237" s="1" t="n">
        <v>231</v>
      </c>
      <c r="B237" s="1" t="n">
        <f aca="false">cleaned_data!F232</f>
        <v>6545</v>
      </c>
      <c r="C237" s="1" t="n">
        <f aca="false">cleaned_data!E232</f>
        <v>33173.95</v>
      </c>
      <c r="D237" s="1" t="n">
        <f aca="false">cleaned_data!H232</f>
        <v>15</v>
      </c>
      <c r="E237" s="1" t="n">
        <f aca="false">cleaned_data!I232</f>
        <v>84.4</v>
      </c>
      <c r="F237" s="1" t="n">
        <f aca="false">cleaned_data!G232</f>
        <v>0.169</v>
      </c>
      <c r="G237" s="1" t="n">
        <f aca="false">cleaned_data!K232</f>
        <v>0</v>
      </c>
      <c r="H237" s="1" t="n">
        <f aca="false">dummy_variables!E235</f>
        <v>0</v>
      </c>
      <c r="I237" s="1" t="n">
        <f aca="false">dummy_variables!F235</f>
        <v>0</v>
      </c>
      <c r="J237" s="1" t="n">
        <f aca="false">dummy_variables!G235</f>
        <v>0</v>
      </c>
      <c r="K237" s="1" t="n">
        <f aca="false">dummy_variables!H235</f>
        <v>0</v>
      </c>
      <c r="L237" s="1" t="n">
        <f aca="false">dummy_variables!I235</f>
        <v>0</v>
      </c>
      <c r="M237" s="1" t="n">
        <f aca="false">dummy_variables!J235</f>
        <v>0</v>
      </c>
    </row>
    <row r="238" customFormat="false" ht="15" hidden="false" customHeight="true" outlineLevel="0" collapsed="false">
      <c r="A238" s="1" t="n">
        <v>232</v>
      </c>
      <c r="B238" s="1" t="n">
        <f aca="false">cleaned_data!F233</f>
        <v>5457</v>
      </c>
      <c r="C238" s="1" t="n">
        <f aca="false">cleaned_data!E233</f>
        <v>25818.08</v>
      </c>
      <c r="D238" s="1" t="n">
        <f aca="false">cleaned_data!H233</f>
        <v>11</v>
      </c>
      <c r="E238" s="1" t="n">
        <f aca="false">cleaned_data!I233</f>
        <v>95.4</v>
      </c>
      <c r="F238" s="1" t="n">
        <f aca="false">cleaned_data!G233</f>
        <v>0</v>
      </c>
      <c r="G238" s="1" t="n">
        <f aca="false">cleaned_data!K233</f>
        <v>0</v>
      </c>
      <c r="H238" s="1" t="n">
        <f aca="false">dummy_variables!E236</f>
        <v>0</v>
      </c>
      <c r="I238" s="1" t="n">
        <f aca="false">dummy_variables!F236</f>
        <v>0</v>
      </c>
      <c r="J238" s="1" t="n">
        <f aca="false">dummy_variables!G236</f>
        <v>0</v>
      </c>
      <c r="K238" s="1" t="n">
        <f aca="false">dummy_variables!H236</f>
        <v>0</v>
      </c>
      <c r="L238" s="1" t="n">
        <f aca="false">dummy_variables!I236</f>
        <v>0</v>
      </c>
      <c r="M238" s="1" t="n">
        <f aca="false">dummy_variables!J236</f>
        <v>0</v>
      </c>
    </row>
    <row r="239" customFormat="false" ht="15" hidden="false" customHeight="true" outlineLevel="0" collapsed="false">
      <c r="A239" s="1" t="n">
        <v>233</v>
      </c>
      <c r="B239" s="1" t="n">
        <f aca="false">cleaned_data!F234</f>
        <v>4264</v>
      </c>
      <c r="C239" s="1" t="n">
        <f aca="false">cleaned_data!E234</f>
        <v>47241.92</v>
      </c>
      <c r="D239" s="1" t="n">
        <f aca="false">cleaned_data!H234</f>
        <v>13</v>
      </c>
      <c r="E239" s="1" t="n">
        <f aca="false">cleaned_data!I234</f>
        <v>95.3</v>
      </c>
      <c r="F239" s="1" t="n">
        <f aca="false">cleaned_data!G234</f>
        <v>0.069</v>
      </c>
      <c r="G239" s="1" t="n">
        <f aca="false">cleaned_data!K234</f>
        <v>0</v>
      </c>
      <c r="H239" s="1" t="n">
        <f aca="false">dummy_variables!E237</f>
        <v>0</v>
      </c>
      <c r="I239" s="1" t="n">
        <f aca="false">dummy_variables!F237</f>
        <v>1</v>
      </c>
      <c r="J239" s="1" t="n">
        <f aca="false">dummy_variables!G237</f>
        <v>0</v>
      </c>
      <c r="K239" s="1" t="n">
        <f aca="false">dummy_variables!H237</f>
        <v>0</v>
      </c>
      <c r="L239" s="1" t="n">
        <f aca="false">dummy_variables!I237</f>
        <v>0</v>
      </c>
      <c r="M239" s="1" t="n">
        <f aca="false">dummy_variables!J237</f>
        <v>1</v>
      </c>
    </row>
    <row r="240" customFormat="false" ht="15" hidden="false" customHeight="true" outlineLevel="0" collapsed="false">
      <c r="A240" s="1" t="n">
        <v>234</v>
      </c>
      <c r="B240" s="1" t="n">
        <f aca="false">cleaned_data!F235</f>
        <v>5321</v>
      </c>
      <c r="C240" s="1" t="n">
        <f aca="false">cleaned_data!E235</f>
        <v>61650.79</v>
      </c>
      <c r="D240" s="1" t="n">
        <f aca="false">cleaned_data!H235</f>
        <v>17</v>
      </c>
      <c r="E240" s="1" t="n">
        <f aca="false">cleaned_data!I235</f>
        <v>89.2</v>
      </c>
      <c r="F240" s="1" t="n">
        <f aca="false">cleaned_data!G235</f>
        <v>0.126</v>
      </c>
      <c r="G240" s="1" t="n">
        <f aca="false">cleaned_data!K235</f>
        <v>0</v>
      </c>
      <c r="H240" s="1" t="n">
        <f aca="false">dummy_variables!E238</f>
        <v>0</v>
      </c>
      <c r="I240" s="1" t="n">
        <f aca="false">dummy_variables!F238</f>
        <v>1</v>
      </c>
      <c r="J240" s="1" t="n">
        <f aca="false">dummy_variables!G238</f>
        <v>0</v>
      </c>
      <c r="K240" s="1" t="n">
        <f aca="false">dummy_variables!H238</f>
        <v>0</v>
      </c>
      <c r="L240" s="1" t="n">
        <f aca="false">dummy_variables!I238</f>
        <v>0</v>
      </c>
      <c r="M240" s="1" t="n">
        <f aca="false">dummy_variables!J238</f>
        <v>1</v>
      </c>
    </row>
    <row r="241" customFormat="false" ht="15" hidden="false" customHeight="true" outlineLevel="0" collapsed="false">
      <c r="A241" s="1" t="n">
        <v>235</v>
      </c>
      <c r="B241" s="1" t="n">
        <f aca="false">cleaned_data!F236</f>
        <v>5479</v>
      </c>
      <c r="C241" s="1" t="n">
        <f aca="false">cleaned_data!E236</f>
        <v>62582.71</v>
      </c>
      <c r="D241" s="1" t="n">
        <f aca="false">cleaned_data!H236</f>
        <v>16</v>
      </c>
      <c r="E241" s="1" t="n">
        <f aca="false">cleaned_data!I236</f>
        <v>81.2</v>
      </c>
      <c r="F241" s="1" t="n">
        <f aca="false">cleaned_data!G236</f>
        <v>0.048</v>
      </c>
      <c r="G241" s="1" t="n">
        <f aca="false">cleaned_data!K236</f>
        <v>0</v>
      </c>
      <c r="H241" s="1" t="n">
        <f aca="false">dummy_variables!E239</f>
        <v>0</v>
      </c>
      <c r="I241" s="1" t="n">
        <f aca="false">dummy_variables!F239</f>
        <v>1</v>
      </c>
      <c r="J241" s="1" t="n">
        <f aca="false">dummy_variables!G239</f>
        <v>0</v>
      </c>
      <c r="K241" s="1" t="n">
        <f aca="false">dummy_variables!H239</f>
        <v>0</v>
      </c>
      <c r="L241" s="1" t="n">
        <f aca="false">dummy_variables!I239</f>
        <v>0</v>
      </c>
      <c r="M241" s="1" t="n">
        <f aca="false">dummy_variables!J239</f>
        <v>1</v>
      </c>
    </row>
    <row r="242" customFormat="false" ht="15" hidden="false" customHeight="true" outlineLevel="0" collapsed="false">
      <c r="A242" s="1" t="n">
        <v>236</v>
      </c>
      <c r="B242" s="1" t="n">
        <f aca="false">cleaned_data!F237</f>
        <v>6169</v>
      </c>
      <c r="C242" s="1" t="n">
        <f aca="false">cleaned_data!E237</f>
        <v>47944.14</v>
      </c>
      <c r="D242" s="1" t="n">
        <f aca="false">cleaned_data!H237</f>
        <v>17</v>
      </c>
      <c r="E242" s="1" t="n">
        <f aca="false">cleaned_data!I237</f>
        <v>92.2</v>
      </c>
      <c r="F242" s="1" t="n">
        <f aca="false">cleaned_data!G237</f>
        <v>0.119</v>
      </c>
      <c r="G242" s="1" t="n">
        <f aca="false">cleaned_data!K237</f>
        <v>0</v>
      </c>
      <c r="H242" s="1" t="n">
        <f aca="false">dummy_variables!E240</f>
        <v>0</v>
      </c>
      <c r="I242" s="1" t="n">
        <f aca="false">dummy_variables!F240</f>
        <v>1</v>
      </c>
      <c r="J242" s="1" t="n">
        <f aca="false">dummy_variables!G240</f>
        <v>0</v>
      </c>
      <c r="K242" s="1" t="n">
        <f aca="false">dummy_variables!H240</f>
        <v>0</v>
      </c>
      <c r="L242" s="1" t="n">
        <f aca="false">dummy_variables!I240</f>
        <v>0</v>
      </c>
      <c r="M242" s="1" t="n">
        <f aca="false">dummy_variables!J240</f>
        <v>1</v>
      </c>
    </row>
    <row r="243" customFormat="false" ht="15" hidden="false" customHeight="true" outlineLevel="0" collapsed="false">
      <c r="A243" s="1" t="n">
        <v>237</v>
      </c>
      <c r="B243" s="1" t="n">
        <f aca="false">cleaned_data!F238</f>
        <v>9908</v>
      </c>
      <c r="C243" s="1" t="n">
        <f aca="false">cleaned_data!E238</f>
        <v>46495.4</v>
      </c>
      <c r="D243" s="1" t="n">
        <f aca="false">cleaned_data!H238</f>
        <v>22</v>
      </c>
      <c r="E243" s="1" t="n">
        <f aca="false">cleaned_data!I238</f>
        <v>89.4</v>
      </c>
      <c r="F243" s="1" t="n">
        <f aca="false">cleaned_data!G238</f>
        <v>0.121</v>
      </c>
      <c r="G243" s="1" t="n">
        <f aca="false">cleaned_data!K238</f>
        <v>0</v>
      </c>
      <c r="H243" s="1" t="n">
        <f aca="false">dummy_variables!E241</f>
        <v>1</v>
      </c>
      <c r="I243" s="1" t="n">
        <f aca="false">dummy_variables!F241</f>
        <v>0</v>
      </c>
      <c r="J243" s="1" t="n">
        <f aca="false">dummy_variables!G241</f>
        <v>0</v>
      </c>
      <c r="K243" s="1" t="n">
        <f aca="false">dummy_variables!H241</f>
        <v>0</v>
      </c>
      <c r="L243" s="1" t="n">
        <f aca="false">dummy_variables!I241</f>
        <v>0</v>
      </c>
      <c r="M243" s="1" t="n">
        <f aca="false">dummy_variables!J241</f>
        <v>1</v>
      </c>
    </row>
    <row r="244" customFormat="false" ht="15" hidden="false" customHeight="true" outlineLevel="0" collapsed="false">
      <c r="A244" s="1" t="n">
        <v>238</v>
      </c>
      <c r="B244" s="1" t="n">
        <f aca="false">cleaned_data!F239</f>
        <v>9996</v>
      </c>
      <c r="C244" s="1" t="n">
        <f aca="false">cleaned_data!E239</f>
        <v>72961.95</v>
      </c>
      <c r="D244" s="1" t="n">
        <f aca="false">cleaned_data!H239</f>
        <v>22</v>
      </c>
      <c r="E244" s="1" t="n">
        <f aca="false">cleaned_data!I239</f>
        <v>89.1</v>
      </c>
      <c r="F244" s="1" t="n">
        <f aca="false">cleaned_data!G239</f>
        <v>0.106</v>
      </c>
      <c r="G244" s="1" t="n">
        <f aca="false">cleaned_data!K239</f>
        <v>0</v>
      </c>
      <c r="H244" s="1" t="n">
        <f aca="false">dummy_variables!E242</f>
        <v>1</v>
      </c>
      <c r="I244" s="1" t="n">
        <f aca="false">dummy_variables!F242</f>
        <v>0</v>
      </c>
      <c r="J244" s="1" t="n">
        <f aca="false">dummy_variables!G242</f>
        <v>0</v>
      </c>
      <c r="K244" s="1" t="n">
        <f aca="false">dummy_variables!H242</f>
        <v>0</v>
      </c>
      <c r="L244" s="1" t="n">
        <f aca="false">dummy_variables!I242</f>
        <v>0</v>
      </c>
      <c r="M244" s="1" t="n">
        <f aca="false">dummy_variables!J242</f>
        <v>1</v>
      </c>
    </row>
    <row r="245" customFormat="false" ht="15" hidden="false" customHeight="true" outlineLevel="0" collapsed="false">
      <c r="A245" s="1" t="n">
        <v>239</v>
      </c>
      <c r="B245" s="1" t="n">
        <f aca="false">cleaned_data!F240</f>
        <v>9702</v>
      </c>
      <c r="C245" s="1" t="n">
        <f aca="false">cleaned_data!E240</f>
        <v>59060.05</v>
      </c>
      <c r="D245" s="1" t="n">
        <f aca="false">cleaned_data!H240</f>
        <v>23</v>
      </c>
      <c r="E245" s="1" t="n">
        <f aca="false">cleaned_data!I240</f>
        <v>80.9</v>
      </c>
      <c r="F245" s="1" t="n">
        <f aca="false">cleaned_data!G240</f>
        <v>0.201</v>
      </c>
      <c r="G245" s="1" t="n">
        <f aca="false">cleaned_data!K240</f>
        <v>0</v>
      </c>
      <c r="H245" s="1" t="n">
        <f aca="false">dummy_variables!E243</f>
        <v>1</v>
      </c>
      <c r="I245" s="1" t="n">
        <f aca="false">dummy_variables!F243</f>
        <v>0</v>
      </c>
      <c r="J245" s="1" t="n">
        <f aca="false">dummy_variables!G243</f>
        <v>0</v>
      </c>
      <c r="K245" s="1" t="n">
        <f aca="false">dummy_variables!H243</f>
        <v>0</v>
      </c>
      <c r="L245" s="1" t="n">
        <f aca="false">dummy_variables!I243</f>
        <v>0</v>
      </c>
      <c r="M245" s="1" t="n">
        <f aca="false">dummy_variables!J243</f>
        <v>1</v>
      </c>
    </row>
    <row r="246" customFormat="false" ht="15" hidden="false" customHeight="true" outlineLevel="0" collapsed="false">
      <c r="A246" s="1" t="n">
        <v>240</v>
      </c>
      <c r="B246" s="1" t="n">
        <f aca="false">cleaned_data!F241</f>
        <v>9314</v>
      </c>
      <c r="C246" s="1" t="n">
        <f aca="false">cleaned_data!E241</f>
        <v>26248.1</v>
      </c>
      <c r="D246" s="1" t="n">
        <f aca="false">cleaned_data!H241</f>
        <v>21</v>
      </c>
      <c r="E246" s="1" t="n">
        <f aca="false">cleaned_data!I241</f>
        <v>83.7</v>
      </c>
      <c r="F246" s="1" t="n">
        <f aca="false">cleaned_data!G241</f>
        <v>0.186</v>
      </c>
      <c r="G246" s="1" t="n">
        <f aca="false">cleaned_data!K241</f>
        <v>0</v>
      </c>
      <c r="H246" s="1" t="n">
        <f aca="false">dummy_variables!E244</f>
        <v>1</v>
      </c>
      <c r="I246" s="1" t="n">
        <f aca="false">dummy_variables!F244</f>
        <v>0</v>
      </c>
      <c r="J246" s="1" t="n">
        <f aca="false">dummy_variables!G244</f>
        <v>0</v>
      </c>
      <c r="K246" s="1" t="n">
        <f aca="false">dummy_variables!H244</f>
        <v>0</v>
      </c>
      <c r="L246" s="1" t="n">
        <f aca="false">dummy_variables!I244</f>
        <v>0</v>
      </c>
      <c r="M246" s="1" t="n">
        <f aca="false">dummy_variables!J244</f>
        <v>1</v>
      </c>
    </row>
    <row r="247" customFormat="false" ht="15" hidden="false" customHeight="true" outlineLevel="0" collapsed="false">
      <c r="A247" s="1" t="n">
        <v>241</v>
      </c>
      <c r="B247" s="1" t="n">
        <f aca="false">cleaned_data!F242</f>
        <v>8055</v>
      </c>
      <c r="C247" s="1" t="n">
        <f aca="false">cleaned_data!E242</f>
        <v>69900.12</v>
      </c>
      <c r="D247" s="1" t="n">
        <f aca="false">cleaned_data!H242</f>
        <v>22</v>
      </c>
      <c r="E247" s="1" t="n">
        <f aca="false">cleaned_data!I242</f>
        <v>85.6</v>
      </c>
      <c r="F247" s="1" t="n">
        <f aca="false">cleaned_data!G242</f>
        <v>0.281</v>
      </c>
      <c r="G247" s="1" t="n">
        <f aca="false">cleaned_data!K242</f>
        <v>1</v>
      </c>
      <c r="H247" s="1" t="n">
        <f aca="false">dummy_variables!E245</f>
        <v>0</v>
      </c>
      <c r="I247" s="1" t="n">
        <f aca="false">dummy_variables!F245</f>
        <v>0</v>
      </c>
      <c r="J247" s="1" t="n">
        <f aca="false">dummy_variables!G245</f>
        <v>1</v>
      </c>
      <c r="K247" s="1" t="n">
        <f aca="false">dummy_variables!H245</f>
        <v>0</v>
      </c>
      <c r="L247" s="1" t="n">
        <f aca="false">dummy_variables!I245</f>
        <v>1</v>
      </c>
      <c r="M247" s="1" t="n">
        <f aca="false">dummy_variables!J245</f>
        <v>0</v>
      </c>
    </row>
    <row r="248" customFormat="false" ht="15" hidden="false" customHeight="true" outlineLevel="0" collapsed="false">
      <c r="A248" s="1" t="n">
        <v>242</v>
      </c>
      <c r="B248" s="1" t="n">
        <f aca="false">cleaned_data!F243</f>
        <v>5648</v>
      </c>
      <c r="C248" s="1" t="n">
        <f aca="false">cleaned_data!E243</f>
        <v>51781.6</v>
      </c>
      <c r="D248" s="1" t="n">
        <f aca="false">cleaned_data!H243</f>
        <v>13</v>
      </c>
      <c r="E248" s="1" t="n">
        <f aca="false">cleaned_data!I243</f>
        <v>85.5</v>
      </c>
      <c r="F248" s="1" t="n">
        <f aca="false">cleaned_data!G243</f>
        <v>0.059</v>
      </c>
      <c r="G248" s="1" t="n">
        <f aca="false">cleaned_data!K243</f>
        <v>0</v>
      </c>
      <c r="H248" s="1" t="n">
        <f aca="false">dummy_variables!E246</f>
        <v>0</v>
      </c>
      <c r="I248" s="1" t="n">
        <f aca="false">dummy_variables!F246</f>
        <v>0</v>
      </c>
      <c r="J248" s="1" t="n">
        <f aca="false">dummy_variables!G246</f>
        <v>1</v>
      </c>
      <c r="K248" s="1" t="n">
        <f aca="false">dummy_variables!H246</f>
        <v>0</v>
      </c>
      <c r="L248" s="1" t="n">
        <f aca="false">dummy_variables!I246</f>
        <v>1</v>
      </c>
      <c r="M248" s="1" t="n">
        <f aca="false">dummy_variables!J246</f>
        <v>0</v>
      </c>
    </row>
    <row r="249" customFormat="false" ht="15" hidden="false" customHeight="true" outlineLevel="0" collapsed="false">
      <c r="A249" s="1" t="n">
        <v>243</v>
      </c>
      <c r="B249" s="1" t="n">
        <f aca="false">cleaned_data!F244</f>
        <v>10076</v>
      </c>
      <c r="C249" s="1" t="n">
        <f aca="false">cleaned_data!E244</f>
        <v>70799.64</v>
      </c>
      <c r="D249" s="1" t="n">
        <f aca="false">cleaned_data!H244</f>
        <v>24</v>
      </c>
      <c r="E249" s="1" t="n">
        <f aca="false">cleaned_data!I244</f>
        <v>84.8</v>
      </c>
      <c r="F249" s="1" t="n">
        <f aca="false">cleaned_data!G244</f>
        <v>0.152</v>
      </c>
      <c r="G249" s="1" t="n">
        <f aca="false">cleaned_data!K244</f>
        <v>0</v>
      </c>
      <c r="H249" s="1" t="n">
        <f aca="false">dummy_variables!E247</f>
        <v>0</v>
      </c>
      <c r="I249" s="1" t="n">
        <f aca="false">dummy_variables!F247</f>
        <v>0</v>
      </c>
      <c r="J249" s="1" t="n">
        <f aca="false">dummy_variables!G247</f>
        <v>1</v>
      </c>
      <c r="K249" s="1" t="n">
        <f aca="false">dummy_variables!H247</f>
        <v>0</v>
      </c>
      <c r="L249" s="1" t="n">
        <f aca="false">dummy_variables!I247</f>
        <v>1</v>
      </c>
      <c r="M249" s="1" t="n">
        <f aca="false">dummy_variables!J247</f>
        <v>0</v>
      </c>
    </row>
    <row r="250" customFormat="false" ht="15" hidden="false" customHeight="true" outlineLevel="0" collapsed="false">
      <c r="A250" s="1" t="n">
        <v>244</v>
      </c>
      <c r="B250" s="1" t="n">
        <f aca="false">cleaned_data!F245</f>
        <v>8004</v>
      </c>
      <c r="C250" s="1" t="n">
        <f aca="false">cleaned_data!E245</f>
        <v>53546.34</v>
      </c>
      <c r="D250" s="1" t="n">
        <f aca="false">cleaned_data!H245</f>
        <v>21</v>
      </c>
      <c r="E250" s="1" t="n">
        <f aca="false">cleaned_data!I245</f>
        <v>95.2</v>
      </c>
      <c r="F250" s="1" t="n">
        <f aca="false">cleaned_data!G245</f>
        <v>0</v>
      </c>
      <c r="G250" s="1" t="n">
        <f aca="false">cleaned_data!K245</f>
        <v>0</v>
      </c>
      <c r="H250" s="1" t="n">
        <f aca="false">dummy_variables!E248</f>
        <v>0</v>
      </c>
      <c r="I250" s="1" t="n">
        <f aca="false">dummy_variables!F248</f>
        <v>0</v>
      </c>
      <c r="J250" s="1" t="n">
        <f aca="false">dummy_variables!G248</f>
        <v>1</v>
      </c>
      <c r="K250" s="1" t="n">
        <f aca="false">dummy_variables!H248</f>
        <v>0</v>
      </c>
      <c r="L250" s="1" t="n">
        <f aca="false">dummy_variables!I248</f>
        <v>1</v>
      </c>
      <c r="M250" s="1" t="n">
        <f aca="false">dummy_variables!J248</f>
        <v>0</v>
      </c>
    </row>
    <row r="251" customFormat="false" ht="15" hidden="false" customHeight="true" outlineLevel="0" collapsed="false">
      <c r="A251" s="1" t="n">
        <v>245</v>
      </c>
      <c r="B251" s="1" t="n">
        <f aca="false">cleaned_data!F246</f>
        <v>8934</v>
      </c>
      <c r="C251" s="1" t="n">
        <f aca="false">cleaned_data!E246</f>
        <v>76942.2</v>
      </c>
      <c r="D251" s="1" t="n">
        <f aca="false">cleaned_data!H246</f>
        <v>20</v>
      </c>
      <c r="E251" s="1" t="n">
        <f aca="false">cleaned_data!I246</f>
        <v>91</v>
      </c>
      <c r="F251" s="1" t="n">
        <f aca="false">cleaned_data!G246</f>
        <v>0.084</v>
      </c>
      <c r="G251" s="1" t="n">
        <f aca="false">cleaned_data!K246</f>
        <v>0</v>
      </c>
      <c r="H251" s="1" t="n">
        <f aca="false">dummy_variables!E249</f>
        <v>0</v>
      </c>
      <c r="I251" s="1" t="n">
        <f aca="false">dummy_variables!F249</f>
        <v>0</v>
      </c>
      <c r="J251" s="1" t="n">
        <f aca="false">dummy_variables!G249</f>
        <v>0</v>
      </c>
      <c r="K251" s="1" t="n">
        <f aca="false">dummy_variables!H249</f>
        <v>0</v>
      </c>
      <c r="L251" s="1" t="n">
        <f aca="false">dummy_variables!I249</f>
        <v>0</v>
      </c>
      <c r="M251" s="1" t="n">
        <f aca="false">dummy_variables!J249</f>
        <v>0</v>
      </c>
    </row>
    <row r="252" customFormat="false" ht="15" hidden="false" customHeight="true" outlineLevel="0" collapsed="false">
      <c r="A252" s="1" t="n">
        <v>246</v>
      </c>
      <c r="B252" s="1" t="n">
        <f aca="false">cleaned_data!F247</f>
        <v>8733</v>
      </c>
      <c r="C252" s="1" t="n">
        <f aca="false">cleaned_data!E247</f>
        <v>48060.78</v>
      </c>
      <c r="D252" s="1" t="n">
        <f aca="false">cleaned_data!H247</f>
        <v>20</v>
      </c>
      <c r="E252" s="1" t="n">
        <f aca="false">cleaned_data!I247</f>
        <v>89.9</v>
      </c>
      <c r="F252" s="1" t="n">
        <f aca="false">cleaned_data!G247</f>
        <v>0</v>
      </c>
      <c r="G252" s="1" t="n">
        <f aca="false">cleaned_data!K247</f>
        <v>0</v>
      </c>
      <c r="H252" s="1" t="n">
        <f aca="false">dummy_variables!E250</f>
        <v>0</v>
      </c>
      <c r="I252" s="1" t="n">
        <f aca="false">dummy_variables!F250</f>
        <v>0</v>
      </c>
      <c r="J252" s="1" t="n">
        <f aca="false">dummy_variables!G250</f>
        <v>0</v>
      </c>
      <c r="K252" s="1" t="n">
        <f aca="false">dummy_variables!H250</f>
        <v>0</v>
      </c>
      <c r="L252" s="1" t="n">
        <f aca="false">dummy_variables!I250</f>
        <v>0</v>
      </c>
      <c r="M252" s="1" t="n">
        <f aca="false">dummy_variables!J250</f>
        <v>0</v>
      </c>
    </row>
    <row r="253" customFormat="false" ht="15" hidden="false" customHeight="true" outlineLevel="0" collapsed="false">
      <c r="A253" s="1" t="n">
        <v>247</v>
      </c>
      <c r="B253" s="1" t="n">
        <f aca="false">cleaned_data!F248</f>
        <v>7374</v>
      </c>
      <c r="C253" s="1" t="n">
        <f aca="false">cleaned_data!E248</f>
        <v>57390.04</v>
      </c>
      <c r="D253" s="1" t="n">
        <f aca="false">cleaned_data!H248</f>
        <v>21</v>
      </c>
      <c r="E253" s="1" t="n">
        <f aca="false">cleaned_data!I248</f>
        <v>91.8</v>
      </c>
      <c r="F253" s="1" t="n">
        <f aca="false">cleaned_data!G248</f>
        <v>0.21</v>
      </c>
      <c r="G253" s="1" t="n">
        <f aca="false">cleaned_data!K248</f>
        <v>0</v>
      </c>
      <c r="H253" s="1" t="n">
        <f aca="false">dummy_variables!E251</f>
        <v>0</v>
      </c>
      <c r="I253" s="1" t="n">
        <f aca="false">dummy_variables!F251</f>
        <v>0</v>
      </c>
      <c r="J253" s="1" t="n">
        <f aca="false">dummy_variables!G251</f>
        <v>0</v>
      </c>
      <c r="K253" s="1" t="n">
        <f aca="false">dummy_variables!H251</f>
        <v>0</v>
      </c>
      <c r="L253" s="1" t="n">
        <f aca="false">dummy_variables!I251</f>
        <v>0</v>
      </c>
      <c r="M253" s="1" t="n">
        <f aca="false">dummy_variables!J251</f>
        <v>0</v>
      </c>
    </row>
    <row r="254" customFormat="false" ht="15" hidden="false" customHeight="true" outlineLevel="0" collapsed="false">
      <c r="A254" s="1" t="n">
        <v>248</v>
      </c>
      <c r="B254" s="1" t="n">
        <f aca="false">cleaned_data!F249</f>
        <v>8119</v>
      </c>
      <c r="C254" s="1" t="n">
        <f aca="false">cleaned_data!E249</f>
        <v>21536.18</v>
      </c>
      <c r="D254" s="1" t="n">
        <f aca="false">cleaned_data!H249</f>
        <v>20</v>
      </c>
      <c r="E254" s="1" t="n">
        <f aca="false">cleaned_data!I249</f>
        <v>90.4</v>
      </c>
      <c r="F254" s="1" t="n">
        <f aca="false">cleaned_data!G249</f>
        <v>0.227</v>
      </c>
      <c r="G254" s="1" t="n">
        <f aca="false">cleaned_data!K249</f>
        <v>0</v>
      </c>
      <c r="H254" s="1" t="n">
        <f aca="false">dummy_variables!E252</f>
        <v>0</v>
      </c>
      <c r="I254" s="1" t="n">
        <f aca="false">dummy_variables!F252</f>
        <v>0</v>
      </c>
      <c r="J254" s="1" t="n">
        <f aca="false">dummy_variables!G252</f>
        <v>0</v>
      </c>
      <c r="K254" s="1" t="n">
        <f aca="false">dummy_variables!H252</f>
        <v>0</v>
      </c>
      <c r="L254" s="1" t="n">
        <f aca="false">dummy_variables!I252</f>
        <v>0</v>
      </c>
      <c r="M254" s="1" t="n">
        <f aca="false">dummy_variables!J252</f>
        <v>0</v>
      </c>
    </row>
    <row r="255" customFormat="false" ht="15" hidden="false" customHeight="true" outlineLevel="0" collapsed="false">
      <c r="A255" s="1" t="n">
        <v>249</v>
      </c>
      <c r="B255" s="1" t="n">
        <f aca="false">cleaned_data!F250</f>
        <v>3875</v>
      </c>
      <c r="C255" s="1" t="n">
        <f aca="false">cleaned_data!E250</f>
        <v>40923.67</v>
      </c>
      <c r="D255" s="1" t="n">
        <f aca="false">cleaned_data!H250</f>
        <v>10</v>
      </c>
      <c r="E255" s="1" t="n">
        <f aca="false">cleaned_data!I250</f>
        <v>96.1</v>
      </c>
      <c r="F255" s="1" t="n">
        <f aca="false">cleaned_data!G250</f>
        <v>0.15</v>
      </c>
      <c r="G255" s="1" t="n">
        <f aca="false">cleaned_data!K250</f>
        <v>0</v>
      </c>
      <c r="H255" s="1" t="n">
        <f aca="false">dummy_variables!E253</f>
        <v>0</v>
      </c>
      <c r="I255" s="1" t="n">
        <f aca="false">dummy_variables!F253</f>
        <v>0</v>
      </c>
      <c r="J255" s="1" t="n">
        <f aca="false">dummy_variables!G253</f>
        <v>0</v>
      </c>
      <c r="K255" s="1" t="n">
        <f aca="false">dummy_variables!H253</f>
        <v>1</v>
      </c>
      <c r="L255" s="1" t="n">
        <f aca="false">dummy_variables!I253</f>
        <v>0</v>
      </c>
      <c r="M255" s="1" t="n">
        <f aca="false">dummy_variables!J253</f>
        <v>0</v>
      </c>
    </row>
    <row r="256" customFormat="false" ht="15" hidden="false" customHeight="true" outlineLevel="0" collapsed="false">
      <c r="A256" s="1" t="n">
        <v>250</v>
      </c>
      <c r="B256" s="1" t="n">
        <f aca="false">cleaned_data!F251</f>
        <v>5765</v>
      </c>
      <c r="C256" s="1" t="n">
        <f aca="false">cleaned_data!E251</f>
        <v>72932.55</v>
      </c>
      <c r="D256" s="1" t="n">
        <f aca="false">cleaned_data!H251</f>
        <v>17</v>
      </c>
      <c r="E256" s="1" t="n">
        <f aca="false">cleaned_data!I251</f>
        <v>81.8</v>
      </c>
      <c r="F256" s="1" t="n">
        <f aca="false">cleaned_data!G251</f>
        <v>0.026</v>
      </c>
      <c r="G256" s="1" t="n">
        <f aca="false">cleaned_data!K251</f>
        <v>0</v>
      </c>
      <c r="H256" s="1" t="n">
        <f aca="false">dummy_variables!E254</f>
        <v>0</v>
      </c>
      <c r="I256" s="1" t="n">
        <f aca="false">dummy_variables!F254</f>
        <v>0</v>
      </c>
      <c r="J256" s="1" t="n">
        <f aca="false">dummy_variables!G254</f>
        <v>0</v>
      </c>
      <c r="K256" s="1" t="n">
        <f aca="false">dummy_variables!H254</f>
        <v>1</v>
      </c>
      <c r="L256" s="1" t="n">
        <f aca="false">dummy_variables!I254</f>
        <v>0</v>
      </c>
      <c r="M256" s="1" t="n">
        <f aca="false">dummy_variables!J254</f>
        <v>0</v>
      </c>
    </row>
    <row r="257" customFormat="false" ht="15" hidden="false" customHeight="true" outlineLevel="0" collapsed="false">
      <c r="A257" s="1" t="n">
        <v>251</v>
      </c>
      <c r="B257" s="1" t="n">
        <f aca="false">cleaned_data!F252</f>
        <v>6322</v>
      </c>
      <c r="C257" s="1" t="n">
        <f aca="false">cleaned_data!E252</f>
        <v>38361.93</v>
      </c>
      <c r="D257" s="1" t="n">
        <f aca="false">cleaned_data!H252</f>
        <v>15</v>
      </c>
      <c r="E257" s="1" t="n">
        <f aca="false">cleaned_data!I252</f>
        <v>88.4</v>
      </c>
      <c r="F257" s="1" t="n">
        <f aca="false">cleaned_data!G252</f>
        <v>0.273</v>
      </c>
      <c r="G257" s="1" t="n">
        <f aca="false">cleaned_data!K252</f>
        <v>0</v>
      </c>
      <c r="H257" s="1" t="n">
        <f aca="false">dummy_variables!E255</f>
        <v>0</v>
      </c>
      <c r="I257" s="1" t="n">
        <f aca="false">dummy_variables!F255</f>
        <v>0</v>
      </c>
      <c r="J257" s="1" t="n">
        <f aca="false">dummy_variables!G255</f>
        <v>0</v>
      </c>
      <c r="K257" s="1" t="n">
        <f aca="false">dummy_variables!H255</f>
        <v>1</v>
      </c>
      <c r="L257" s="1" t="n">
        <f aca="false">dummy_variables!I255</f>
        <v>0</v>
      </c>
      <c r="M257" s="1" t="n">
        <f aca="false">dummy_variables!J255</f>
        <v>0</v>
      </c>
    </row>
    <row r="258" customFormat="false" ht="15" hidden="false" customHeight="true" outlineLevel="0" collapsed="false">
      <c r="A258" s="1" t="n">
        <v>252</v>
      </c>
      <c r="B258" s="1" t="n">
        <f aca="false">cleaned_data!F253</f>
        <v>6840</v>
      </c>
      <c r="C258" s="1" t="n">
        <f aca="false">cleaned_data!E253</f>
        <v>97480.94</v>
      </c>
      <c r="D258" s="1" t="n">
        <f aca="false">cleaned_data!H253</f>
        <v>14</v>
      </c>
      <c r="E258" s="1" t="n">
        <f aca="false">cleaned_data!I253</f>
        <v>79.2</v>
      </c>
      <c r="F258" s="1" t="n">
        <f aca="false">cleaned_data!G253</f>
        <v>0.087</v>
      </c>
      <c r="G258" s="1" t="n">
        <f aca="false">cleaned_data!K253</f>
        <v>0</v>
      </c>
      <c r="H258" s="1" t="n">
        <f aca="false">dummy_variables!E256</f>
        <v>0</v>
      </c>
      <c r="I258" s="1" t="n">
        <f aca="false">dummy_variables!F256</f>
        <v>0</v>
      </c>
      <c r="J258" s="1" t="n">
        <f aca="false">dummy_variables!G256</f>
        <v>0</v>
      </c>
      <c r="K258" s="1" t="n">
        <f aca="false">dummy_variables!H256</f>
        <v>1</v>
      </c>
      <c r="L258" s="1" t="n">
        <f aca="false">dummy_variables!I256</f>
        <v>0</v>
      </c>
      <c r="M258" s="1" t="n">
        <f aca="false">dummy_variables!J256</f>
        <v>0</v>
      </c>
    </row>
    <row r="259" customFormat="false" ht="15" hidden="false" customHeight="true" outlineLevel="0" collapsed="false">
      <c r="A259" s="1" t="n">
        <v>253</v>
      </c>
      <c r="B259" s="1" t="n">
        <f aca="false">cleaned_data!F254</f>
        <v>6782</v>
      </c>
      <c r="C259" s="1" t="n">
        <f aca="false">cleaned_data!E254</f>
        <v>81801.8</v>
      </c>
      <c r="D259" s="1" t="n">
        <f aca="false">cleaned_data!H254</f>
        <v>16</v>
      </c>
      <c r="E259" s="1" t="n">
        <f aca="false">cleaned_data!I254</f>
        <v>99</v>
      </c>
      <c r="F259" s="1" t="n">
        <f aca="false">cleaned_data!G254</f>
        <v>0.05</v>
      </c>
      <c r="G259" s="1" t="n">
        <f aca="false">cleaned_data!K254</f>
        <v>0</v>
      </c>
      <c r="H259" s="1" t="n">
        <f aca="false">dummy_variables!E257</f>
        <v>0</v>
      </c>
      <c r="I259" s="1" t="n">
        <f aca="false">dummy_variables!F257</f>
        <v>0</v>
      </c>
      <c r="J259" s="1" t="n">
        <f aca="false">dummy_variables!G257</f>
        <v>1</v>
      </c>
      <c r="K259" s="1" t="n">
        <f aca="false">dummy_variables!H257</f>
        <v>0</v>
      </c>
      <c r="L259" s="1" t="n">
        <f aca="false">dummy_variables!I257</f>
        <v>1</v>
      </c>
      <c r="M259" s="1" t="n">
        <f aca="false">dummy_variables!J257</f>
        <v>0</v>
      </c>
    </row>
    <row r="260" customFormat="false" ht="15" hidden="false" customHeight="true" outlineLevel="0" collapsed="false">
      <c r="A260" s="1" t="n">
        <v>254</v>
      </c>
      <c r="B260" s="1" t="n">
        <f aca="false">cleaned_data!F255</f>
        <v>6856</v>
      </c>
      <c r="C260" s="1" t="n">
        <f aca="false">cleaned_data!E255</f>
        <v>63582.11</v>
      </c>
      <c r="D260" s="1" t="n">
        <f aca="false">cleaned_data!H255</f>
        <v>17</v>
      </c>
      <c r="E260" s="1" t="n">
        <f aca="false">cleaned_data!I255</f>
        <v>89.5</v>
      </c>
      <c r="F260" s="1" t="n">
        <f aca="false">cleaned_data!G255</f>
        <v>0.074</v>
      </c>
      <c r="G260" s="1" t="n">
        <f aca="false">cleaned_data!K255</f>
        <v>0</v>
      </c>
      <c r="H260" s="1" t="n">
        <f aca="false">dummy_variables!E258</f>
        <v>0</v>
      </c>
      <c r="I260" s="1" t="n">
        <f aca="false">dummy_variables!F258</f>
        <v>0</v>
      </c>
      <c r="J260" s="1" t="n">
        <f aca="false">dummy_variables!G258</f>
        <v>1</v>
      </c>
      <c r="K260" s="1" t="n">
        <f aca="false">dummy_variables!H258</f>
        <v>0</v>
      </c>
      <c r="L260" s="1" t="n">
        <f aca="false">dummy_variables!I258</f>
        <v>1</v>
      </c>
      <c r="M260" s="1" t="n">
        <f aca="false">dummy_variables!J258</f>
        <v>0</v>
      </c>
    </row>
    <row r="261" customFormat="false" ht="15" hidden="false" customHeight="true" outlineLevel="0" collapsed="false">
      <c r="A261" s="1" t="n">
        <v>255</v>
      </c>
      <c r="B261" s="1" t="n">
        <f aca="false">cleaned_data!F256</f>
        <v>5641</v>
      </c>
      <c r="C261" s="1" t="n">
        <f aca="false">cleaned_data!E256</f>
        <v>75412.74</v>
      </c>
      <c r="D261" s="1" t="n">
        <f aca="false">cleaned_data!H256</f>
        <v>13</v>
      </c>
      <c r="E261" s="1" t="n">
        <f aca="false">cleaned_data!I256</f>
        <v>87.9</v>
      </c>
      <c r="F261" s="1" t="n">
        <f aca="false">cleaned_data!G256</f>
        <v>0.059</v>
      </c>
      <c r="G261" s="1" t="n">
        <f aca="false">cleaned_data!K256</f>
        <v>0</v>
      </c>
      <c r="H261" s="1" t="n">
        <f aca="false">dummy_variables!E259</f>
        <v>0</v>
      </c>
      <c r="I261" s="1" t="n">
        <f aca="false">dummy_variables!F259</f>
        <v>0</v>
      </c>
      <c r="J261" s="1" t="n">
        <f aca="false">dummy_variables!G259</f>
        <v>1</v>
      </c>
      <c r="K261" s="1" t="n">
        <f aca="false">dummy_variables!H259</f>
        <v>0</v>
      </c>
      <c r="L261" s="1" t="n">
        <f aca="false">dummy_variables!I259</f>
        <v>1</v>
      </c>
      <c r="M261" s="1" t="n">
        <f aca="false">dummy_variables!J259</f>
        <v>0</v>
      </c>
    </row>
    <row r="262" customFormat="false" ht="15" hidden="false" customHeight="true" outlineLevel="0" collapsed="false">
      <c r="A262" s="1" t="n">
        <v>256</v>
      </c>
      <c r="B262" s="1" t="n">
        <f aca="false">cleaned_data!F257</f>
        <v>5787</v>
      </c>
      <c r="C262" s="1" t="n">
        <f aca="false">cleaned_data!E257</f>
        <v>36290.08</v>
      </c>
      <c r="D262" s="1" t="n">
        <f aca="false">cleaned_data!H257</f>
        <v>17</v>
      </c>
      <c r="E262" s="1" t="n">
        <f aca="false">cleaned_data!I257</f>
        <v>88.3</v>
      </c>
      <c r="F262" s="1" t="n">
        <f aca="false">cleaned_data!G257</f>
        <v>0</v>
      </c>
      <c r="G262" s="1" t="n">
        <f aca="false">cleaned_data!K257</f>
        <v>0</v>
      </c>
      <c r="H262" s="1" t="n">
        <f aca="false">dummy_variables!E260</f>
        <v>0</v>
      </c>
      <c r="I262" s="1" t="n">
        <f aca="false">dummy_variables!F260</f>
        <v>0</v>
      </c>
      <c r="J262" s="1" t="n">
        <f aca="false">dummy_variables!G260</f>
        <v>1</v>
      </c>
      <c r="K262" s="1" t="n">
        <f aca="false">dummy_variables!H260</f>
        <v>0</v>
      </c>
      <c r="L262" s="1" t="n">
        <f aca="false">dummy_variables!I260</f>
        <v>1</v>
      </c>
      <c r="M262" s="1" t="n">
        <f aca="false">dummy_variables!J260</f>
        <v>0</v>
      </c>
    </row>
    <row r="263" customFormat="false" ht="15" hidden="false" customHeight="true" outlineLevel="0" collapsed="false">
      <c r="A263" s="1" t="n">
        <v>257</v>
      </c>
      <c r="B263" s="1" t="n">
        <f aca="false">cleaned_data!F258</f>
        <v>8165</v>
      </c>
      <c r="C263" s="1" t="n">
        <f aca="false">cleaned_data!E258</f>
        <v>65272.58</v>
      </c>
      <c r="D263" s="1" t="n">
        <f aca="false">cleaned_data!H258</f>
        <v>19</v>
      </c>
      <c r="E263" s="1" t="n">
        <f aca="false">cleaned_data!I258</f>
        <v>87.8</v>
      </c>
      <c r="F263" s="1" t="n">
        <f aca="false">cleaned_data!G258</f>
        <v>0.051</v>
      </c>
      <c r="G263" s="1" t="n">
        <f aca="false">cleaned_data!K258</f>
        <v>1</v>
      </c>
      <c r="H263" s="1" t="n">
        <f aca="false">dummy_variables!E261</f>
        <v>1</v>
      </c>
      <c r="I263" s="1" t="n">
        <f aca="false">dummy_variables!F261</f>
        <v>0</v>
      </c>
      <c r="J263" s="1" t="n">
        <f aca="false">dummy_variables!G261</f>
        <v>0</v>
      </c>
      <c r="K263" s="1" t="n">
        <f aca="false">dummy_variables!H261</f>
        <v>0</v>
      </c>
      <c r="L263" s="1" t="n">
        <f aca="false">dummy_variables!I261</f>
        <v>1</v>
      </c>
      <c r="M263" s="1" t="n">
        <f aca="false">dummy_variables!J261</f>
        <v>0</v>
      </c>
    </row>
    <row r="264" customFormat="false" ht="15" hidden="false" customHeight="true" outlineLevel="0" collapsed="false">
      <c r="A264" s="1" t="n">
        <v>258</v>
      </c>
      <c r="B264" s="1" t="n">
        <f aca="false">cleaned_data!F259</f>
        <v>7574</v>
      </c>
      <c r="C264" s="1" t="n">
        <f aca="false">cleaned_data!E259</f>
        <v>28670.43</v>
      </c>
      <c r="D264" s="1" t="n">
        <f aca="false">cleaned_data!H259</f>
        <v>19</v>
      </c>
      <c r="E264" s="1" t="n">
        <f aca="false">cleaned_data!I259</f>
        <v>82.7</v>
      </c>
      <c r="F264" s="1" t="n">
        <f aca="false">cleaned_data!G259</f>
        <v>0.114</v>
      </c>
      <c r="G264" s="1" t="n">
        <f aca="false">cleaned_data!K259</f>
        <v>0</v>
      </c>
      <c r="H264" s="1" t="n">
        <f aca="false">dummy_variables!E262</f>
        <v>1</v>
      </c>
      <c r="I264" s="1" t="n">
        <f aca="false">dummy_variables!F262</f>
        <v>0</v>
      </c>
      <c r="J264" s="1" t="n">
        <f aca="false">dummy_variables!G262</f>
        <v>0</v>
      </c>
      <c r="K264" s="1" t="n">
        <f aca="false">dummy_variables!H262</f>
        <v>0</v>
      </c>
      <c r="L264" s="1" t="n">
        <f aca="false">dummy_variables!I262</f>
        <v>1</v>
      </c>
      <c r="M264" s="1" t="n">
        <f aca="false">dummy_variables!J262</f>
        <v>0</v>
      </c>
    </row>
    <row r="265" customFormat="false" ht="15" hidden="false" customHeight="true" outlineLevel="0" collapsed="false">
      <c r="A265" s="1" t="n">
        <v>259</v>
      </c>
      <c r="B265" s="1" t="n">
        <f aca="false">cleaned_data!F260</f>
        <v>8634</v>
      </c>
      <c r="C265" s="1" t="n">
        <f aca="false">cleaned_data!E260</f>
        <v>44189.34</v>
      </c>
      <c r="D265" s="1" t="n">
        <f aca="false">cleaned_data!H260</f>
        <v>19</v>
      </c>
      <c r="E265" s="1" t="n">
        <f aca="false">cleaned_data!I260</f>
        <v>87.5</v>
      </c>
      <c r="F265" s="1" t="n">
        <f aca="false">cleaned_data!G260</f>
        <v>0.143</v>
      </c>
      <c r="G265" s="1" t="n">
        <f aca="false">cleaned_data!K260</f>
        <v>0</v>
      </c>
      <c r="H265" s="1" t="n">
        <f aca="false">dummy_variables!E263</f>
        <v>1</v>
      </c>
      <c r="I265" s="1" t="n">
        <f aca="false">dummy_variables!F263</f>
        <v>0</v>
      </c>
      <c r="J265" s="1" t="n">
        <f aca="false">dummy_variables!G263</f>
        <v>0</v>
      </c>
      <c r="K265" s="1" t="n">
        <f aca="false">dummy_variables!H263</f>
        <v>0</v>
      </c>
      <c r="L265" s="1" t="n">
        <f aca="false">dummy_variables!I263</f>
        <v>1</v>
      </c>
      <c r="M265" s="1" t="n">
        <f aca="false">dummy_variables!J263</f>
        <v>0</v>
      </c>
    </row>
    <row r="266" customFormat="false" ht="15" hidden="false" customHeight="true" outlineLevel="0" collapsed="false">
      <c r="A266" s="1" t="n">
        <v>260</v>
      </c>
      <c r="B266" s="1" t="n">
        <f aca="false">cleaned_data!F261</f>
        <v>7836</v>
      </c>
      <c r="C266" s="1" t="n">
        <f aca="false">cleaned_data!E261</f>
        <v>38397.82</v>
      </c>
      <c r="D266" s="1" t="n">
        <f aca="false">cleaned_data!H261</f>
        <v>21</v>
      </c>
      <c r="E266" s="1" t="n">
        <f aca="false">cleaned_data!I261</f>
        <v>92.2</v>
      </c>
      <c r="F266" s="1" t="n">
        <f aca="false">cleaned_data!G261</f>
        <v>0.007</v>
      </c>
      <c r="G266" s="1" t="n">
        <f aca="false">cleaned_data!K261</f>
        <v>0</v>
      </c>
      <c r="H266" s="1" t="n">
        <f aca="false">dummy_variables!E264</f>
        <v>1</v>
      </c>
      <c r="I266" s="1" t="n">
        <f aca="false">dummy_variables!F264</f>
        <v>0</v>
      </c>
      <c r="J266" s="1" t="n">
        <f aca="false">dummy_variables!G264</f>
        <v>0</v>
      </c>
      <c r="K266" s="1" t="n">
        <f aca="false">dummy_variables!H264</f>
        <v>0</v>
      </c>
      <c r="L266" s="1" t="n">
        <f aca="false">dummy_variables!I264</f>
        <v>1</v>
      </c>
      <c r="M266" s="1" t="n">
        <f aca="false">dummy_variables!J264</f>
        <v>0</v>
      </c>
    </row>
    <row r="267" customFormat="false" ht="15" hidden="false" customHeight="true" outlineLevel="0" collapsed="false">
      <c r="A267" s="1" t="n">
        <v>261</v>
      </c>
      <c r="B267" s="1" t="n">
        <f aca="false">cleaned_data!F262</f>
        <v>3047</v>
      </c>
      <c r="C267" s="1" t="n">
        <f aca="false">cleaned_data!E262</f>
        <v>14519.37</v>
      </c>
      <c r="D267" s="1" t="n">
        <f aca="false">cleaned_data!H262</f>
        <v>10</v>
      </c>
      <c r="E267" s="1" t="n">
        <f aca="false">cleaned_data!I262</f>
        <v>90.3</v>
      </c>
      <c r="F267" s="1" t="n">
        <f aca="false">cleaned_data!G262</f>
        <v>0.135</v>
      </c>
      <c r="G267" s="1" t="n">
        <f aca="false">cleaned_data!K262</f>
        <v>0</v>
      </c>
      <c r="H267" s="1" t="n">
        <f aca="false">dummy_variables!E265</f>
        <v>0</v>
      </c>
      <c r="I267" s="1" t="n">
        <f aca="false">dummy_variables!F265</f>
        <v>0</v>
      </c>
      <c r="J267" s="1" t="n">
        <f aca="false">dummy_variables!G265</f>
        <v>0</v>
      </c>
      <c r="K267" s="1" t="n">
        <f aca="false">dummy_variables!H265</f>
        <v>0</v>
      </c>
      <c r="L267" s="1" t="n">
        <f aca="false">dummy_variables!I265</f>
        <v>0</v>
      </c>
      <c r="M267" s="1" t="n">
        <f aca="false">dummy_variables!J265</f>
        <v>1</v>
      </c>
    </row>
    <row r="268" customFormat="false" ht="15" hidden="false" customHeight="true" outlineLevel="0" collapsed="false">
      <c r="A268" s="1" t="n">
        <v>262</v>
      </c>
      <c r="B268" s="1" t="n">
        <f aca="false">cleaned_data!F263</f>
        <v>4783</v>
      </c>
      <c r="C268" s="1" t="n">
        <f aca="false">cleaned_data!E263</f>
        <v>43288.2</v>
      </c>
      <c r="D268" s="1" t="n">
        <f aca="false">cleaned_data!H263</f>
        <v>13</v>
      </c>
      <c r="E268" s="1" t="n">
        <f aca="false">cleaned_data!I263</f>
        <v>87.3</v>
      </c>
      <c r="F268" s="1" t="n">
        <f aca="false">cleaned_data!G263</f>
        <v>0.169</v>
      </c>
      <c r="G268" s="1" t="n">
        <f aca="false">cleaned_data!K263</f>
        <v>0</v>
      </c>
      <c r="H268" s="1" t="n">
        <f aca="false">dummy_variables!E266</f>
        <v>0</v>
      </c>
      <c r="I268" s="1" t="n">
        <f aca="false">dummy_variables!F266</f>
        <v>0</v>
      </c>
      <c r="J268" s="1" t="n">
        <f aca="false">dummy_variables!G266</f>
        <v>0</v>
      </c>
      <c r="K268" s="1" t="n">
        <f aca="false">dummy_variables!H266</f>
        <v>0</v>
      </c>
      <c r="L268" s="1" t="n">
        <f aca="false">dummy_variables!I266</f>
        <v>0</v>
      </c>
      <c r="M268" s="1" t="n">
        <f aca="false">dummy_variables!J266</f>
        <v>1</v>
      </c>
    </row>
    <row r="269" customFormat="false" ht="15" hidden="false" customHeight="true" outlineLevel="0" collapsed="false">
      <c r="A269" s="1" t="n">
        <v>263</v>
      </c>
      <c r="B269" s="1" t="n">
        <f aca="false">cleaned_data!F264</f>
        <v>4902</v>
      </c>
      <c r="C269" s="1" t="n">
        <f aca="false">cleaned_data!E264</f>
        <v>51450.55</v>
      </c>
      <c r="D269" s="1" t="n">
        <f aca="false">cleaned_data!H264</f>
        <v>11</v>
      </c>
      <c r="E269" s="1" t="n">
        <f aca="false">cleaned_data!I264</f>
        <v>83.7</v>
      </c>
      <c r="F269" s="1" t="n">
        <f aca="false">cleaned_data!G264</f>
        <v>0.086</v>
      </c>
      <c r="G269" s="1" t="n">
        <f aca="false">cleaned_data!K264</f>
        <v>1</v>
      </c>
      <c r="H269" s="1" t="n">
        <f aca="false">dummy_variables!E267</f>
        <v>0</v>
      </c>
      <c r="I269" s="1" t="n">
        <f aca="false">dummy_variables!F267</f>
        <v>0</v>
      </c>
      <c r="J269" s="1" t="n">
        <f aca="false">dummy_variables!G267</f>
        <v>0</v>
      </c>
      <c r="K269" s="1" t="n">
        <f aca="false">dummy_variables!H267</f>
        <v>0</v>
      </c>
      <c r="L269" s="1" t="n">
        <f aca="false">dummy_variables!I267</f>
        <v>0</v>
      </c>
      <c r="M269" s="1" t="n">
        <f aca="false">dummy_variables!J267</f>
        <v>1</v>
      </c>
    </row>
    <row r="270" customFormat="false" ht="15" hidden="false" customHeight="true" outlineLevel="0" collapsed="false">
      <c r="A270" s="1" t="n">
        <v>264</v>
      </c>
      <c r="B270" s="1" t="n">
        <f aca="false">cleaned_data!F265</f>
        <v>4022</v>
      </c>
      <c r="C270" s="1" t="n">
        <f aca="false">cleaned_data!E265</f>
        <v>58688.26</v>
      </c>
      <c r="D270" s="1" t="n">
        <f aca="false">cleaned_data!H265</f>
        <v>12</v>
      </c>
      <c r="E270" s="1" t="n">
        <f aca="false">cleaned_data!I265</f>
        <v>93.8</v>
      </c>
      <c r="F270" s="1" t="n">
        <f aca="false">cleaned_data!G265</f>
        <v>0.217</v>
      </c>
      <c r="G270" s="1" t="n">
        <f aca="false">cleaned_data!K265</f>
        <v>0</v>
      </c>
      <c r="H270" s="1" t="n">
        <f aca="false">dummy_variables!E268</f>
        <v>0</v>
      </c>
      <c r="I270" s="1" t="n">
        <f aca="false">dummy_variables!F268</f>
        <v>0</v>
      </c>
      <c r="J270" s="1" t="n">
        <f aca="false">dummy_variables!G268</f>
        <v>0</v>
      </c>
      <c r="K270" s="1" t="n">
        <f aca="false">dummy_variables!H268</f>
        <v>0</v>
      </c>
      <c r="L270" s="1" t="n">
        <f aca="false">dummy_variables!I268</f>
        <v>0</v>
      </c>
      <c r="M270" s="1" t="n">
        <f aca="false">dummy_variables!J268</f>
        <v>1</v>
      </c>
    </row>
    <row r="271" customFormat="false" ht="15" hidden="false" customHeight="true" outlineLevel="0" collapsed="false">
      <c r="A271" s="1" t="n">
        <v>265</v>
      </c>
      <c r="B271" s="1" t="n">
        <f aca="false">cleaned_data!F266</f>
        <v>7324</v>
      </c>
      <c r="C271" s="1" t="n">
        <f aca="false">cleaned_data!E266</f>
        <v>58981.91</v>
      </c>
      <c r="D271" s="1" t="n">
        <f aca="false">cleaned_data!H266</f>
        <v>15</v>
      </c>
      <c r="E271" s="1" t="n">
        <f aca="false">cleaned_data!I266</f>
        <v>95.8</v>
      </c>
      <c r="F271" s="1" t="n">
        <f aca="false">cleaned_data!G266</f>
        <v>0.094</v>
      </c>
      <c r="G271" s="1" t="n">
        <f aca="false">cleaned_data!K266</f>
        <v>0</v>
      </c>
      <c r="H271" s="1" t="n">
        <f aca="false">dummy_variables!E269</f>
        <v>0</v>
      </c>
      <c r="I271" s="1" t="n">
        <f aca="false">dummy_variables!F269</f>
        <v>0</v>
      </c>
      <c r="J271" s="1" t="n">
        <f aca="false">dummy_variables!G269</f>
        <v>0</v>
      </c>
      <c r="K271" s="1" t="n">
        <f aca="false">dummy_variables!H269</f>
        <v>0</v>
      </c>
      <c r="L271" s="1" t="n">
        <f aca="false">dummy_variables!I269</f>
        <v>0</v>
      </c>
      <c r="M271" s="1" t="n">
        <f aca="false">dummy_variables!J269</f>
        <v>0</v>
      </c>
    </row>
    <row r="272" customFormat="false" ht="15" hidden="false" customHeight="true" outlineLevel="0" collapsed="false">
      <c r="A272" s="1" t="n">
        <v>266</v>
      </c>
      <c r="B272" s="1" t="n">
        <f aca="false">cleaned_data!F267</f>
        <v>8129</v>
      </c>
      <c r="C272" s="1" t="n">
        <f aca="false">cleaned_data!E267</f>
        <v>73454.54</v>
      </c>
      <c r="D272" s="1" t="n">
        <f aca="false">cleaned_data!H267</f>
        <v>20</v>
      </c>
      <c r="E272" s="1" t="n">
        <f aca="false">cleaned_data!I267</f>
        <v>85.2</v>
      </c>
      <c r="F272" s="1" t="n">
        <f aca="false">cleaned_data!G267</f>
        <v>0.211</v>
      </c>
      <c r="G272" s="1" t="n">
        <f aca="false">cleaned_data!K267</f>
        <v>0</v>
      </c>
      <c r="H272" s="1" t="n">
        <f aca="false">dummy_variables!E270</f>
        <v>0</v>
      </c>
      <c r="I272" s="1" t="n">
        <f aca="false">dummy_variables!F270</f>
        <v>0</v>
      </c>
      <c r="J272" s="1" t="n">
        <f aca="false">dummy_variables!G270</f>
        <v>0</v>
      </c>
      <c r="K272" s="1" t="n">
        <f aca="false">dummy_variables!H270</f>
        <v>0</v>
      </c>
      <c r="L272" s="1" t="n">
        <f aca="false">dummy_variables!I270</f>
        <v>0</v>
      </c>
      <c r="M272" s="1" t="n">
        <f aca="false">dummy_variables!J270</f>
        <v>0</v>
      </c>
    </row>
    <row r="273" customFormat="false" ht="15" hidden="false" customHeight="true" outlineLevel="0" collapsed="false">
      <c r="A273" s="1" t="n">
        <v>267</v>
      </c>
      <c r="B273" s="1" t="n">
        <f aca="false">cleaned_data!F268</f>
        <v>7969</v>
      </c>
      <c r="C273" s="1" t="n">
        <f aca="false">cleaned_data!E268</f>
        <v>56602.39</v>
      </c>
      <c r="D273" s="1" t="n">
        <f aca="false">cleaned_data!H268</f>
        <v>21</v>
      </c>
      <c r="E273" s="1" t="n">
        <f aca="false">cleaned_data!I268</f>
        <v>88.3</v>
      </c>
      <c r="F273" s="1" t="n">
        <f aca="false">cleaned_data!G268</f>
        <v>0.17</v>
      </c>
      <c r="G273" s="1" t="n">
        <f aca="false">cleaned_data!K268</f>
        <v>0</v>
      </c>
      <c r="H273" s="1" t="n">
        <f aca="false">dummy_variables!E271</f>
        <v>0</v>
      </c>
      <c r="I273" s="1" t="n">
        <f aca="false">dummy_variables!F271</f>
        <v>0</v>
      </c>
      <c r="J273" s="1" t="n">
        <f aca="false">dummy_variables!G271</f>
        <v>0</v>
      </c>
      <c r="K273" s="1" t="n">
        <f aca="false">dummy_variables!H271</f>
        <v>0</v>
      </c>
      <c r="L273" s="1" t="n">
        <f aca="false">dummy_variables!I271</f>
        <v>0</v>
      </c>
      <c r="M273" s="1" t="n">
        <f aca="false">dummy_variables!J271</f>
        <v>0</v>
      </c>
    </row>
    <row r="274" customFormat="false" ht="15" hidden="false" customHeight="true" outlineLevel="0" collapsed="false">
      <c r="A274" s="1" t="n">
        <v>268</v>
      </c>
      <c r="B274" s="1" t="n">
        <f aca="false">cleaned_data!F269</f>
        <v>7240</v>
      </c>
      <c r="C274" s="1" t="n">
        <f aca="false">cleaned_data!E269</f>
        <v>67722.29</v>
      </c>
      <c r="D274" s="1" t="n">
        <f aca="false">cleaned_data!H269</f>
        <v>15</v>
      </c>
      <c r="E274" s="1" t="n">
        <f aca="false">cleaned_data!I269</f>
        <v>92.9</v>
      </c>
      <c r="F274" s="1" t="n">
        <f aca="false">cleaned_data!G269</f>
        <v>0.026</v>
      </c>
      <c r="G274" s="1" t="n">
        <f aca="false">cleaned_data!K269</f>
        <v>0</v>
      </c>
      <c r="H274" s="1" t="n">
        <f aca="false">dummy_variables!E272</f>
        <v>0</v>
      </c>
      <c r="I274" s="1" t="n">
        <f aca="false">dummy_variables!F272</f>
        <v>0</v>
      </c>
      <c r="J274" s="1" t="n">
        <f aca="false">dummy_variables!G272</f>
        <v>0</v>
      </c>
      <c r="K274" s="1" t="n">
        <f aca="false">dummy_variables!H272</f>
        <v>0</v>
      </c>
      <c r="L274" s="1" t="n">
        <f aca="false">dummy_variables!I272</f>
        <v>0</v>
      </c>
      <c r="M274" s="1" t="n">
        <f aca="false">dummy_variables!J272</f>
        <v>0</v>
      </c>
    </row>
    <row r="275" customFormat="false" ht="15" hidden="false" customHeight="true" outlineLevel="0" collapsed="false">
      <c r="A275" s="1" t="n">
        <v>269</v>
      </c>
      <c r="B275" s="1" t="n">
        <f aca="false">cleaned_data!F270</f>
        <v>8052</v>
      </c>
      <c r="C275" s="1" t="n">
        <f aca="false">cleaned_data!E270</f>
        <v>48752.92</v>
      </c>
      <c r="D275" s="1" t="n">
        <f aca="false">cleaned_data!H270</f>
        <v>16</v>
      </c>
      <c r="E275" s="1" t="n">
        <f aca="false">cleaned_data!I270</f>
        <v>94.9</v>
      </c>
      <c r="F275" s="1" t="n">
        <f aca="false">cleaned_data!G270</f>
        <v>0.106</v>
      </c>
      <c r="G275" s="1" t="n">
        <f aca="false">cleaned_data!K270</f>
        <v>0</v>
      </c>
      <c r="H275" s="1" t="n">
        <f aca="false">dummy_variables!E273</f>
        <v>1</v>
      </c>
      <c r="I275" s="1" t="n">
        <f aca="false">dummy_variables!F273</f>
        <v>0</v>
      </c>
      <c r="J275" s="1" t="n">
        <f aca="false">dummy_variables!G273</f>
        <v>0</v>
      </c>
      <c r="K275" s="1" t="n">
        <f aca="false">dummy_variables!H273</f>
        <v>0</v>
      </c>
      <c r="L275" s="1" t="n">
        <f aca="false">dummy_variables!I273</f>
        <v>0</v>
      </c>
      <c r="M275" s="1" t="n">
        <f aca="false">dummy_variables!J273</f>
        <v>0</v>
      </c>
    </row>
    <row r="276" customFormat="false" ht="15" hidden="false" customHeight="true" outlineLevel="0" collapsed="false">
      <c r="A276" s="1" t="n">
        <v>270</v>
      </c>
      <c r="B276" s="1" t="n">
        <f aca="false">cleaned_data!F271</f>
        <v>8018</v>
      </c>
      <c r="C276" s="1" t="n">
        <f aca="false">cleaned_data!E271</f>
        <v>23914.97</v>
      </c>
      <c r="D276" s="1" t="n">
        <f aca="false">cleaned_data!H271</f>
        <v>20</v>
      </c>
      <c r="E276" s="1" t="n">
        <f aca="false">cleaned_data!I271</f>
        <v>89</v>
      </c>
      <c r="F276" s="1" t="n">
        <f aca="false">cleaned_data!G271</f>
        <v>0.139</v>
      </c>
      <c r="G276" s="1" t="n">
        <f aca="false">cleaned_data!K271</f>
        <v>0</v>
      </c>
      <c r="H276" s="1" t="n">
        <f aca="false">dummy_variables!E274</f>
        <v>1</v>
      </c>
      <c r="I276" s="1" t="n">
        <f aca="false">dummy_variables!F274</f>
        <v>0</v>
      </c>
      <c r="J276" s="1" t="n">
        <f aca="false">dummy_variables!G274</f>
        <v>0</v>
      </c>
      <c r="K276" s="1" t="n">
        <f aca="false">dummy_variables!H274</f>
        <v>0</v>
      </c>
      <c r="L276" s="1" t="n">
        <f aca="false">dummy_variables!I274</f>
        <v>0</v>
      </c>
      <c r="M276" s="1" t="n">
        <f aca="false">dummy_variables!J274</f>
        <v>0</v>
      </c>
    </row>
    <row r="277" customFormat="false" ht="15" hidden="false" customHeight="true" outlineLevel="0" collapsed="false">
      <c r="A277" s="1" t="n">
        <v>271</v>
      </c>
      <c r="B277" s="1" t="n">
        <f aca="false">cleaned_data!F272</f>
        <v>10192</v>
      </c>
      <c r="C277" s="1" t="n">
        <f aca="false">cleaned_data!E272</f>
        <v>61995.3</v>
      </c>
      <c r="D277" s="1" t="n">
        <f aca="false">cleaned_data!H272</f>
        <v>21</v>
      </c>
      <c r="E277" s="1" t="n">
        <f aca="false">cleaned_data!I272</f>
        <v>87.6</v>
      </c>
      <c r="F277" s="1" t="n">
        <f aca="false">cleaned_data!G272</f>
        <v>0.198</v>
      </c>
      <c r="G277" s="1" t="n">
        <f aca="false">cleaned_data!K272</f>
        <v>1</v>
      </c>
      <c r="H277" s="1" t="n">
        <f aca="false">dummy_variables!E275</f>
        <v>1</v>
      </c>
      <c r="I277" s="1" t="n">
        <f aca="false">dummy_variables!F275</f>
        <v>0</v>
      </c>
      <c r="J277" s="1" t="n">
        <f aca="false">dummy_variables!G275</f>
        <v>0</v>
      </c>
      <c r="K277" s="1" t="n">
        <f aca="false">dummy_variables!H275</f>
        <v>0</v>
      </c>
      <c r="L277" s="1" t="n">
        <f aca="false">dummy_variables!I275</f>
        <v>0</v>
      </c>
      <c r="M277" s="1" t="n">
        <f aca="false">dummy_variables!J275</f>
        <v>0</v>
      </c>
    </row>
    <row r="278" customFormat="false" ht="15" hidden="false" customHeight="true" outlineLevel="0" collapsed="false">
      <c r="A278" s="1" t="n">
        <v>272</v>
      </c>
      <c r="B278" s="1" t="n">
        <f aca="false">cleaned_data!F273</f>
        <v>7446</v>
      </c>
      <c r="C278" s="1" t="n">
        <f aca="false">cleaned_data!E273</f>
        <v>29344.93</v>
      </c>
      <c r="D278" s="1" t="n">
        <f aca="false">cleaned_data!H273</f>
        <v>15</v>
      </c>
      <c r="E278" s="1" t="n">
        <f aca="false">cleaned_data!I273</f>
        <v>86.2</v>
      </c>
      <c r="F278" s="1" t="n">
        <f aca="false">cleaned_data!G273</f>
        <v>0.111</v>
      </c>
      <c r="G278" s="1" t="n">
        <f aca="false">cleaned_data!K273</f>
        <v>0</v>
      </c>
      <c r="H278" s="1" t="n">
        <f aca="false">dummy_variables!E276</f>
        <v>1</v>
      </c>
      <c r="I278" s="1" t="n">
        <f aca="false">dummy_variables!F276</f>
        <v>0</v>
      </c>
      <c r="J278" s="1" t="n">
        <f aca="false">dummy_variables!G276</f>
        <v>0</v>
      </c>
      <c r="K278" s="1" t="n">
        <f aca="false">dummy_variables!H276</f>
        <v>0</v>
      </c>
      <c r="L278" s="1" t="n">
        <f aca="false">dummy_variables!I276</f>
        <v>0</v>
      </c>
      <c r="M278" s="1" t="n">
        <f aca="false">dummy_variables!J276</f>
        <v>0</v>
      </c>
    </row>
    <row r="279" customFormat="false" ht="15" hidden="false" customHeight="true" outlineLevel="0" collapsed="false">
      <c r="A279" s="1" t="n">
        <v>273</v>
      </c>
      <c r="B279" s="1" t="n">
        <f aca="false">cleaned_data!F274</f>
        <v>5689</v>
      </c>
      <c r="C279" s="1" t="n">
        <f aca="false">cleaned_data!E274</f>
        <v>50532.17</v>
      </c>
      <c r="D279" s="1" t="n">
        <f aca="false">cleaned_data!H274</f>
        <v>17</v>
      </c>
      <c r="E279" s="1" t="n">
        <f aca="false">cleaned_data!I274</f>
        <v>85.6</v>
      </c>
      <c r="F279" s="1" t="n">
        <f aca="false">cleaned_data!G274</f>
        <v>0.052</v>
      </c>
      <c r="G279" s="1" t="n">
        <f aca="false">cleaned_data!K274</f>
        <v>0</v>
      </c>
      <c r="H279" s="1" t="n">
        <f aca="false">dummy_variables!E277</f>
        <v>0</v>
      </c>
      <c r="I279" s="1" t="n">
        <f aca="false">dummy_variables!F277</f>
        <v>0</v>
      </c>
      <c r="J279" s="1" t="n">
        <f aca="false">dummy_variables!G277</f>
        <v>0</v>
      </c>
      <c r="K279" s="1" t="n">
        <f aca="false">dummy_variables!H277</f>
        <v>0</v>
      </c>
      <c r="L279" s="1" t="n">
        <f aca="false">dummy_variables!I277</f>
        <v>0</v>
      </c>
      <c r="M279" s="1" t="n">
        <f aca="false">dummy_variables!J277</f>
        <v>1</v>
      </c>
    </row>
    <row r="280" customFormat="false" ht="15" hidden="false" customHeight="true" outlineLevel="0" collapsed="false">
      <c r="A280" s="1" t="n">
        <v>274</v>
      </c>
      <c r="B280" s="1" t="n">
        <f aca="false">cleaned_data!F275</f>
        <v>3326</v>
      </c>
      <c r="C280" s="1" t="n">
        <f aca="false">cleaned_data!E275</f>
        <v>17562.57</v>
      </c>
      <c r="D280" s="1" t="n">
        <f aca="false">cleaned_data!H275</f>
        <v>14</v>
      </c>
      <c r="E280" s="1" t="n">
        <f aca="false">cleaned_data!I275</f>
        <v>88.1</v>
      </c>
      <c r="F280" s="1" t="n">
        <f aca="false">cleaned_data!G275</f>
        <v>0.153</v>
      </c>
      <c r="G280" s="1" t="n">
        <f aca="false">cleaned_data!K275</f>
        <v>0</v>
      </c>
      <c r="H280" s="1" t="n">
        <f aca="false">dummy_variables!E278</f>
        <v>0</v>
      </c>
      <c r="I280" s="1" t="n">
        <f aca="false">dummy_variables!F278</f>
        <v>0</v>
      </c>
      <c r="J280" s="1" t="n">
        <f aca="false">dummy_variables!G278</f>
        <v>0</v>
      </c>
      <c r="K280" s="1" t="n">
        <f aca="false">dummy_variables!H278</f>
        <v>0</v>
      </c>
      <c r="L280" s="1" t="n">
        <f aca="false">dummy_variables!I278</f>
        <v>0</v>
      </c>
      <c r="M280" s="1" t="n">
        <f aca="false">dummy_variables!J278</f>
        <v>1</v>
      </c>
    </row>
    <row r="281" customFormat="false" ht="15" hidden="false" customHeight="true" outlineLevel="0" collapsed="false">
      <c r="A281" s="1" t="n">
        <v>275</v>
      </c>
      <c r="B281" s="1" t="n">
        <f aca="false">cleaned_data!F276</f>
        <v>5767</v>
      </c>
      <c r="C281" s="1" t="n">
        <f aca="false">cleaned_data!E276</f>
        <v>47648.71</v>
      </c>
      <c r="D281" s="1" t="n">
        <f aca="false">cleaned_data!H276</f>
        <v>17</v>
      </c>
      <c r="E281" s="1" t="n">
        <f aca="false">cleaned_data!I276</f>
        <v>89.8</v>
      </c>
      <c r="F281" s="1" t="n">
        <f aca="false">cleaned_data!G276</f>
        <v>0.141</v>
      </c>
      <c r="G281" s="1" t="n">
        <f aca="false">cleaned_data!K276</f>
        <v>0</v>
      </c>
      <c r="H281" s="1" t="n">
        <f aca="false">dummy_variables!E279</f>
        <v>0</v>
      </c>
      <c r="I281" s="1" t="n">
        <f aca="false">dummy_variables!F279</f>
        <v>0</v>
      </c>
      <c r="J281" s="1" t="n">
        <f aca="false">dummy_variables!G279</f>
        <v>0</v>
      </c>
      <c r="K281" s="1" t="n">
        <f aca="false">dummy_variables!H279</f>
        <v>0</v>
      </c>
      <c r="L281" s="1" t="n">
        <f aca="false">dummy_variables!I279</f>
        <v>0</v>
      </c>
      <c r="M281" s="1" t="n">
        <f aca="false">dummy_variables!J279</f>
        <v>1</v>
      </c>
    </row>
    <row r="282" customFormat="false" ht="15" hidden="false" customHeight="true" outlineLevel="0" collapsed="false">
      <c r="A282" s="1" t="n">
        <v>276</v>
      </c>
      <c r="B282" s="1" t="n">
        <f aca="false">cleaned_data!F277</f>
        <v>5893</v>
      </c>
      <c r="C282" s="1" t="n">
        <f aca="false">cleaned_data!E277</f>
        <v>38297.58</v>
      </c>
      <c r="D282" s="1" t="n">
        <f aca="false">cleaned_data!H277</f>
        <v>18</v>
      </c>
      <c r="E282" s="1" t="n">
        <f aca="false">cleaned_data!I277</f>
        <v>77.6</v>
      </c>
      <c r="F282" s="1" t="n">
        <f aca="false">cleaned_data!G277</f>
        <v>0.247</v>
      </c>
      <c r="G282" s="1" t="n">
        <f aca="false">cleaned_data!K277</f>
        <v>0</v>
      </c>
      <c r="H282" s="1" t="n">
        <f aca="false">dummy_variables!E280</f>
        <v>0</v>
      </c>
      <c r="I282" s="1" t="n">
        <f aca="false">dummy_variables!F280</f>
        <v>0</v>
      </c>
      <c r="J282" s="1" t="n">
        <f aca="false">dummy_variables!G280</f>
        <v>0</v>
      </c>
      <c r="K282" s="1" t="n">
        <f aca="false">dummy_variables!H280</f>
        <v>0</v>
      </c>
      <c r="L282" s="1" t="n">
        <f aca="false">dummy_variables!I280</f>
        <v>0</v>
      </c>
      <c r="M282" s="1" t="n">
        <f aca="false">dummy_variables!J280</f>
        <v>1</v>
      </c>
    </row>
    <row r="283" customFormat="false" ht="15" hidden="false" customHeight="true" outlineLevel="0" collapsed="false">
      <c r="A283" s="1" t="n">
        <v>277</v>
      </c>
      <c r="B283" s="1" t="n">
        <f aca="false">cleaned_data!F278</f>
        <v>8564</v>
      </c>
      <c r="C283" s="1" t="n">
        <f aca="false">cleaned_data!E278</f>
        <v>61784.11</v>
      </c>
      <c r="D283" s="1" t="n">
        <f aca="false">cleaned_data!H278</f>
        <v>17</v>
      </c>
      <c r="E283" s="1" t="n">
        <f aca="false">cleaned_data!I278</f>
        <v>87.4</v>
      </c>
      <c r="F283" s="1" t="n">
        <f aca="false">cleaned_data!G278</f>
        <v>0.13</v>
      </c>
      <c r="G283" s="1" t="n">
        <f aca="false">cleaned_data!K278</f>
        <v>1</v>
      </c>
      <c r="H283" s="1" t="n">
        <f aca="false">dummy_variables!E281</f>
        <v>0</v>
      </c>
      <c r="I283" s="1" t="n">
        <f aca="false">dummy_variables!F281</f>
        <v>1</v>
      </c>
      <c r="J283" s="1" t="n">
        <f aca="false">dummy_variables!G281</f>
        <v>0</v>
      </c>
      <c r="K283" s="1" t="n">
        <f aca="false">dummy_variables!H281</f>
        <v>0</v>
      </c>
      <c r="L283" s="1" t="n">
        <f aca="false">dummy_variables!I281</f>
        <v>1</v>
      </c>
      <c r="M283" s="1" t="n">
        <f aca="false">dummy_variables!J281</f>
        <v>0</v>
      </c>
    </row>
    <row r="284" customFormat="false" ht="15" hidden="false" customHeight="true" outlineLevel="0" collapsed="false">
      <c r="A284" s="1" t="n">
        <v>278</v>
      </c>
      <c r="B284" s="1" t="n">
        <f aca="false">cleaned_data!F279</f>
        <v>8001</v>
      </c>
      <c r="C284" s="1" t="n">
        <f aca="false">cleaned_data!E279</f>
        <v>36832.33</v>
      </c>
      <c r="D284" s="1" t="n">
        <f aca="false">cleaned_data!H279</f>
        <v>19</v>
      </c>
      <c r="E284" s="1" t="n">
        <f aca="false">cleaned_data!I279</f>
        <v>88.7</v>
      </c>
      <c r="F284" s="1" t="n">
        <f aca="false">cleaned_data!G279</f>
        <v>0</v>
      </c>
      <c r="G284" s="1" t="n">
        <f aca="false">cleaned_data!K279</f>
        <v>0</v>
      </c>
      <c r="H284" s="1" t="n">
        <f aca="false">dummy_variables!E282</f>
        <v>0</v>
      </c>
      <c r="I284" s="1" t="n">
        <f aca="false">dummy_variables!F282</f>
        <v>1</v>
      </c>
      <c r="J284" s="1" t="n">
        <f aca="false">dummy_variables!G282</f>
        <v>0</v>
      </c>
      <c r="K284" s="1" t="n">
        <f aca="false">dummy_variables!H282</f>
        <v>0</v>
      </c>
      <c r="L284" s="1" t="n">
        <f aca="false">dummy_variables!I282</f>
        <v>1</v>
      </c>
      <c r="M284" s="1" t="n">
        <f aca="false">dummy_variables!J282</f>
        <v>0</v>
      </c>
    </row>
    <row r="285" customFormat="false" ht="15" hidden="false" customHeight="true" outlineLevel="0" collapsed="false">
      <c r="A285" s="1" t="n">
        <v>279</v>
      </c>
      <c r="B285" s="1" t="n">
        <f aca="false">cleaned_data!F280</f>
        <v>9324</v>
      </c>
      <c r="C285" s="1" t="n">
        <f aca="false">cleaned_data!E280</f>
        <v>48609.41</v>
      </c>
      <c r="D285" s="1" t="n">
        <f aca="false">cleaned_data!H280</f>
        <v>18</v>
      </c>
      <c r="E285" s="1" t="n">
        <f aca="false">cleaned_data!I280</f>
        <v>86.5</v>
      </c>
      <c r="F285" s="1" t="n">
        <f aca="false">cleaned_data!G280</f>
        <v>0.213</v>
      </c>
      <c r="G285" s="1" t="n">
        <f aca="false">cleaned_data!K280</f>
        <v>0</v>
      </c>
      <c r="H285" s="1" t="n">
        <f aca="false">dummy_variables!E283</f>
        <v>0</v>
      </c>
      <c r="I285" s="1" t="n">
        <f aca="false">dummy_variables!F283</f>
        <v>1</v>
      </c>
      <c r="J285" s="1" t="n">
        <f aca="false">dummy_variables!G283</f>
        <v>0</v>
      </c>
      <c r="K285" s="1" t="n">
        <f aca="false">dummy_variables!H283</f>
        <v>0</v>
      </c>
      <c r="L285" s="1" t="n">
        <f aca="false">dummy_variables!I283</f>
        <v>1</v>
      </c>
      <c r="M285" s="1" t="n">
        <f aca="false">dummy_variables!J283</f>
        <v>0</v>
      </c>
    </row>
    <row r="286" customFormat="false" ht="15" hidden="false" customHeight="true" outlineLevel="0" collapsed="false">
      <c r="A286" s="1" t="n">
        <v>280</v>
      </c>
      <c r="B286" s="1" t="n">
        <f aca="false">cleaned_data!F281</f>
        <v>9109</v>
      </c>
      <c r="C286" s="1" t="n">
        <f aca="false">cleaned_data!E281</f>
        <v>70284.06</v>
      </c>
      <c r="D286" s="1" t="n">
        <f aca="false">cleaned_data!H281</f>
        <v>23</v>
      </c>
      <c r="E286" s="1" t="n">
        <f aca="false">cleaned_data!I281</f>
        <v>87</v>
      </c>
      <c r="F286" s="1" t="n">
        <f aca="false">cleaned_data!G281</f>
        <v>0.004</v>
      </c>
      <c r="G286" s="1" t="n">
        <f aca="false">cleaned_data!K281</f>
        <v>0</v>
      </c>
      <c r="H286" s="1" t="n">
        <f aca="false">dummy_variables!E284</f>
        <v>0</v>
      </c>
      <c r="I286" s="1" t="n">
        <f aca="false">dummy_variables!F284</f>
        <v>1</v>
      </c>
      <c r="J286" s="1" t="n">
        <f aca="false">dummy_variables!G284</f>
        <v>0</v>
      </c>
      <c r="K286" s="1" t="n">
        <f aca="false">dummy_variables!H284</f>
        <v>0</v>
      </c>
      <c r="L286" s="1" t="n">
        <f aca="false">dummy_variables!I284</f>
        <v>1</v>
      </c>
      <c r="M286" s="1" t="n">
        <f aca="false">dummy_variables!J284</f>
        <v>0</v>
      </c>
    </row>
    <row r="287" customFormat="false" ht="15" hidden="false" customHeight="true" outlineLevel="0" collapsed="false">
      <c r="A287" s="1" t="n">
        <v>281</v>
      </c>
      <c r="B287" s="1" t="n">
        <f aca="false">cleaned_data!F282</f>
        <v>4022</v>
      </c>
      <c r="C287" s="1" t="n">
        <f aca="false">cleaned_data!E282</f>
        <v>45940.39</v>
      </c>
      <c r="D287" s="1" t="n">
        <f aca="false">cleaned_data!H282</f>
        <v>10</v>
      </c>
      <c r="E287" s="1" t="n">
        <f aca="false">cleaned_data!I282</f>
        <v>83</v>
      </c>
      <c r="F287" s="1" t="n">
        <f aca="false">cleaned_data!G282</f>
        <v>0.069</v>
      </c>
      <c r="G287" s="1" t="n">
        <f aca="false">cleaned_data!K282</f>
        <v>1</v>
      </c>
      <c r="H287" s="1" t="n">
        <f aca="false">dummy_variables!E285</f>
        <v>0</v>
      </c>
      <c r="I287" s="1" t="n">
        <f aca="false">dummy_variables!F285</f>
        <v>0</v>
      </c>
      <c r="J287" s="1" t="n">
        <f aca="false">dummy_variables!G285</f>
        <v>0</v>
      </c>
      <c r="K287" s="1" t="n">
        <f aca="false">dummy_variables!H285</f>
        <v>0</v>
      </c>
      <c r="L287" s="1" t="n">
        <f aca="false">dummy_variables!I285</f>
        <v>1</v>
      </c>
      <c r="M287" s="1" t="n">
        <f aca="false">dummy_variables!J285</f>
        <v>0</v>
      </c>
    </row>
    <row r="288" customFormat="false" ht="15" hidden="false" customHeight="true" outlineLevel="0" collapsed="false">
      <c r="A288" s="1" t="n">
        <v>282</v>
      </c>
      <c r="B288" s="1" t="n">
        <f aca="false">cleaned_data!F283</f>
        <v>4355</v>
      </c>
      <c r="C288" s="1" t="n">
        <f aca="false">cleaned_data!E283</f>
        <v>34771.26</v>
      </c>
      <c r="D288" s="1" t="n">
        <f aca="false">cleaned_data!H283</f>
        <v>15</v>
      </c>
      <c r="E288" s="1" t="n">
        <f aca="false">cleaned_data!I283</f>
        <v>87.9</v>
      </c>
      <c r="F288" s="1" t="n">
        <f aca="false">cleaned_data!G283</f>
        <v>0.051</v>
      </c>
      <c r="G288" s="1" t="n">
        <f aca="false">cleaned_data!K283</f>
        <v>0</v>
      </c>
      <c r="H288" s="1" t="n">
        <f aca="false">dummy_variables!E286</f>
        <v>0</v>
      </c>
      <c r="I288" s="1" t="n">
        <f aca="false">dummy_variables!F286</f>
        <v>0</v>
      </c>
      <c r="J288" s="1" t="n">
        <f aca="false">dummy_variables!G286</f>
        <v>0</v>
      </c>
      <c r="K288" s="1" t="n">
        <f aca="false">dummy_variables!H286</f>
        <v>0</v>
      </c>
      <c r="L288" s="1" t="n">
        <f aca="false">dummy_variables!I286</f>
        <v>1</v>
      </c>
      <c r="M288" s="1" t="n">
        <f aca="false">dummy_variables!J286</f>
        <v>0</v>
      </c>
    </row>
    <row r="289" customFormat="false" ht="15" hidden="false" customHeight="true" outlineLevel="0" collapsed="false">
      <c r="A289" s="1" t="n">
        <v>283</v>
      </c>
      <c r="B289" s="1" t="n">
        <f aca="false">cleaned_data!F284</f>
        <v>5745</v>
      </c>
      <c r="C289" s="1" t="n">
        <f aca="false">cleaned_data!E284</f>
        <v>66104.19</v>
      </c>
      <c r="D289" s="1" t="n">
        <f aca="false">cleaned_data!H284</f>
        <v>17</v>
      </c>
      <c r="E289" s="1" t="n">
        <f aca="false">cleaned_data!I284</f>
        <v>95.8</v>
      </c>
      <c r="F289" s="1" t="n">
        <f aca="false">cleaned_data!G284</f>
        <v>0.07</v>
      </c>
      <c r="G289" s="1" t="n">
        <f aca="false">cleaned_data!K284</f>
        <v>0</v>
      </c>
      <c r="H289" s="1" t="n">
        <f aca="false">dummy_variables!E287</f>
        <v>0</v>
      </c>
      <c r="I289" s="1" t="n">
        <f aca="false">dummy_variables!F287</f>
        <v>0</v>
      </c>
      <c r="J289" s="1" t="n">
        <f aca="false">dummy_variables!G287</f>
        <v>0</v>
      </c>
      <c r="K289" s="1" t="n">
        <f aca="false">dummy_variables!H287</f>
        <v>0</v>
      </c>
      <c r="L289" s="1" t="n">
        <f aca="false">dummy_variables!I287</f>
        <v>1</v>
      </c>
      <c r="M289" s="1" t="n">
        <f aca="false">dummy_variables!J287</f>
        <v>0</v>
      </c>
    </row>
    <row r="290" customFormat="false" ht="15" hidden="false" customHeight="true" outlineLevel="0" collapsed="false">
      <c r="A290" s="1" t="n">
        <v>284</v>
      </c>
      <c r="B290" s="1" t="n">
        <f aca="false">cleaned_data!F285</f>
        <v>3027</v>
      </c>
      <c r="C290" s="1" t="n">
        <f aca="false">cleaned_data!E285</f>
        <v>18599.21</v>
      </c>
      <c r="D290" s="1" t="n">
        <f aca="false">cleaned_data!H285</f>
        <v>11</v>
      </c>
      <c r="E290" s="1" t="n">
        <f aca="false">cleaned_data!I285</f>
        <v>80.9</v>
      </c>
      <c r="F290" s="1" t="n">
        <f aca="false">cleaned_data!G285</f>
        <v>0.122</v>
      </c>
      <c r="G290" s="1" t="n">
        <f aca="false">cleaned_data!K285</f>
        <v>0</v>
      </c>
      <c r="H290" s="1" t="n">
        <f aca="false">dummy_variables!E288</f>
        <v>0</v>
      </c>
      <c r="I290" s="1" t="n">
        <f aca="false">dummy_variables!F288</f>
        <v>0</v>
      </c>
      <c r="J290" s="1" t="n">
        <f aca="false">dummy_variables!G288</f>
        <v>0</v>
      </c>
      <c r="K290" s="1" t="n">
        <f aca="false">dummy_variables!H288</f>
        <v>0</v>
      </c>
      <c r="L290" s="1" t="n">
        <f aca="false">dummy_variables!I288</f>
        <v>1</v>
      </c>
      <c r="M290" s="1" t="n">
        <f aca="false">dummy_variables!J288</f>
        <v>0</v>
      </c>
    </row>
    <row r="291" customFormat="false" ht="15" hidden="false" customHeight="true" outlineLevel="0" collapsed="false">
      <c r="A291" s="1" t="n">
        <v>285</v>
      </c>
      <c r="B291" s="1" t="n">
        <f aca="false">cleaned_data!F286</f>
        <v>5562</v>
      </c>
      <c r="C291" s="1" t="n">
        <f aca="false">cleaned_data!E286</f>
        <v>60183.06</v>
      </c>
      <c r="D291" s="1" t="n">
        <f aca="false">cleaned_data!H286</f>
        <v>13</v>
      </c>
      <c r="E291" s="1" t="n">
        <f aca="false">cleaned_data!I286</f>
        <v>86.3</v>
      </c>
      <c r="F291" s="1" t="n">
        <f aca="false">cleaned_data!G286</f>
        <v>0.009</v>
      </c>
      <c r="G291" s="1" t="n">
        <f aca="false">cleaned_data!K286</f>
        <v>1</v>
      </c>
      <c r="H291" s="1" t="n">
        <f aca="false">dummy_variables!E289</f>
        <v>0</v>
      </c>
      <c r="I291" s="1" t="n">
        <f aca="false">dummy_variables!F289</f>
        <v>1</v>
      </c>
      <c r="J291" s="1" t="n">
        <f aca="false">dummy_variables!G289</f>
        <v>0</v>
      </c>
      <c r="K291" s="1" t="n">
        <f aca="false">dummy_variables!H289</f>
        <v>0</v>
      </c>
      <c r="L291" s="1" t="n">
        <f aca="false">dummy_variables!I289</f>
        <v>0</v>
      </c>
      <c r="M291" s="1" t="n">
        <f aca="false">dummy_variables!J289</f>
        <v>1</v>
      </c>
    </row>
    <row r="292" customFormat="false" ht="15" hidden="false" customHeight="true" outlineLevel="0" collapsed="false">
      <c r="A292" s="1" t="n">
        <v>286</v>
      </c>
      <c r="B292" s="1" t="n">
        <f aca="false">cleaned_data!F287</f>
        <v>4487</v>
      </c>
      <c r="C292" s="1" t="n">
        <f aca="false">cleaned_data!E287</f>
        <v>74539.14</v>
      </c>
      <c r="D292" s="1" t="n">
        <f aca="false">cleaned_data!H287</f>
        <v>10</v>
      </c>
      <c r="E292" s="1" t="n">
        <f aca="false">cleaned_data!I287</f>
        <v>90.4</v>
      </c>
      <c r="F292" s="1" t="n">
        <f aca="false">cleaned_data!G287</f>
        <v>0.14</v>
      </c>
      <c r="G292" s="1" t="n">
        <f aca="false">cleaned_data!K287</f>
        <v>0</v>
      </c>
      <c r="H292" s="1" t="n">
        <f aca="false">dummy_variables!E290</f>
        <v>0</v>
      </c>
      <c r="I292" s="1" t="n">
        <f aca="false">dummy_variables!F290</f>
        <v>1</v>
      </c>
      <c r="J292" s="1" t="n">
        <f aca="false">dummy_variables!G290</f>
        <v>0</v>
      </c>
      <c r="K292" s="1" t="n">
        <f aca="false">dummy_variables!H290</f>
        <v>0</v>
      </c>
      <c r="L292" s="1" t="n">
        <f aca="false">dummy_variables!I290</f>
        <v>0</v>
      </c>
      <c r="M292" s="1" t="n">
        <f aca="false">dummy_variables!J290</f>
        <v>1</v>
      </c>
    </row>
    <row r="293" customFormat="false" ht="15" hidden="false" customHeight="true" outlineLevel="0" collapsed="false">
      <c r="A293" s="1" t="n">
        <v>287</v>
      </c>
      <c r="B293" s="1" t="n">
        <f aca="false">cleaned_data!F288</f>
        <v>4162</v>
      </c>
      <c r="C293" s="1" t="n">
        <f aca="false">cleaned_data!E288</f>
        <v>55371.97</v>
      </c>
      <c r="D293" s="1" t="n">
        <f aca="false">cleaned_data!H288</f>
        <v>11</v>
      </c>
      <c r="E293" s="1" t="n">
        <f aca="false">cleaned_data!I288</f>
        <v>92</v>
      </c>
      <c r="F293" s="1" t="n">
        <f aca="false">cleaned_data!G288</f>
        <v>0.183</v>
      </c>
      <c r="G293" s="1" t="n">
        <f aca="false">cleaned_data!K288</f>
        <v>1</v>
      </c>
      <c r="H293" s="1" t="n">
        <f aca="false">dummy_variables!E291</f>
        <v>0</v>
      </c>
      <c r="I293" s="1" t="n">
        <f aca="false">dummy_variables!F291</f>
        <v>1</v>
      </c>
      <c r="J293" s="1" t="n">
        <f aca="false">dummy_variables!G291</f>
        <v>0</v>
      </c>
      <c r="K293" s="1" t="n">
        <f aca="false">dummy_variables!H291</f>
        <v>0</v>
      </c>
      <c r="L293" s="1" t="n">
        <f aca="false">dummy_variables!I291</f>
        <v>0</v>
      </c>
      <c r="M293" s="1" t="n">
        <f aca="false">dummy_variables!J291</f>
        <v>1</v>
      </c>
    </row>
    <row r="294" customFormat="false" ht="15" hidden="false" customHeight="true" outlineLevel="0" collapsed="false">
      <c r="A294" s="1" t="n">
        <v>288</v>
      </c>
      <c r="B294" s="1" t="n">
        <f aca="false">cleaned_data!F289</f>
        <v>4094</v>
      </c>
      <c r="C294" s="1" t="n">
        <f aca="false">cleaned_data!E289</f>
        <v>40928.69</v>
      </c>
      <c r="D294" s="1" t="n">
        <f aca="false">cleaned_data!H289</f>
        <v>13</v>
      </c>
      <c r="E294" s="1" t="n">
        <f aca="false">cleaned_data!I289</f>
        <v>82.4</v>
      </c>
      <c r="F294" s="1" t="n">
        <f aca="false">cleaned_data!G289</f>
        <v>0.174</v>
      </c>
      <c r="G294" s="1" t="n">
        <f aca="false">cleaned_data!K289</f>
        <v>0</v>
      </c>
      <c r="H294" s="1" t="n">
        <f aca="false">dummy_variables!E292</f>
        <v>0</v>
      </c>
      <c r="I294" s="1" t="n">
        <f aca="false">dummy_variables!F292</f>
        <v>1</v>
      </c>
      <c r="J294" s="1" t="n">
        <f aca="false">dummy_variables!G292</f>
        <v>0</v>
      </c>
      <c r="K294" s="1" t="n">
        <f aca="false">dummy_variables!H292</f>
        <v>0</v>
      </c>
      <c r="L294" s="1" t="n">
        <f aca="false">dummy_variables!I292</f>
        <v>0</v>
      </c>
      <c r="M294" s="1" t="n">
        <f aca="false">dummy_variables!J292</f>
        <v>1</v>
      </c>
    </row>
    <row r="295" customFormat="false" ht="15" hidden="false" customHeight="true" outlineLevel="0" collapsed="false">
      <c r="A295" s="1" t="n">
        <v>289</v>
      </c>
      <c r="B295" s="1" t="n">
        <f aca="false">cleaned_data!F290</f>
        <v>8484</v>
      </c>
      <c r="C295" s="1" t="n">
        <f aca="false">cleaned_data!E290</f>
        <v>70012.41</v>
      </c>
      <c r="D295" s="1" t="n">
        <f aca="false">cleaned_data!H290</f>
        <v>23</v>
      </c>
      <c r="E295" s="1" t="n">
        <f aca="false">cleaned_data!I290</f>
        <v>72.9</v>
      </c>
      <c r="F295" s="1" t="n">
        <f aca="false">cleaned_data!G290</f>
        <v>0.273</v>
      </c>
      <c r="G295" s="1" t="n">
        <f aca="false">cleaned_data!K290</f>
        <v>0</v>
      </c>
      <c r="H295" s="1" t="n">
        <f aca="false">dummy_variables!E293</f>
        <v>0</v>
      </c>
      <c r="I295" s="1" t="n">
        <f aca="false">dummy_variables!F293</f>
        <v>1</v>
      </c>
      <c r="J295" s="1" t="n">
        <f aca="false">dummy_variables!G293</f>
        <v>0</v>
      </c>
      <c r="K295" s="1" t="n">
        <f aca="false">dummy_variables!H293</f>
        <v>0</v>
      </c>
      <c r="L295" s="1" t="n">
        <f aca="false">dummy_variables!I293</f>
        <v>0</v>
      </c>
      <c r="M295" s="1" t="n">
        <f aca="false">dummy_variables!J293</f>
        <v>0</v>
      </c>
    </row>
    <row r="296" customFormat="false" ht="15" hidden="false" customHeight="true" outlineLevel="0" collapsed="false">
      <c r="A296" s="1" t="n">
        <v>290</v>
      </c>
      <c r="B296" s="1" t="n">
        <f aca="false">cleaned_data!F291</f>
        <v>7794</v>
      </c>
      <c r="C296" s="1" t="n">
        <f aca="false">cleaned_data!E291</f>
        <v>68909.26</v>
      </c>
      <c r="D296" s="1" t="n">
        <f aca="false">cleaned_data!H291</f>
        <v>22</v>
      </c>
      <c r="E296" s="1" t="n">
        <f aca="false">cleaned_data!I291</f>
        <v>89</v>
      </c>
      <c r="F296" s="1" t="n">
        <f aca="false">cleaned_data!G291</f>
        <v>0.284</v>
      </c>
      <c r="G296" s="1" t="n">
        <f aca="false">cleaned_data!K291</f>
        <v>0</v>
      </c>
      <c r="H296" s="1" t="n">
        <f aca="false">dummy_variables!E294</f>
        <v>0</v>
      </c>
      <c r="I296" s="1" t="n">
        <f aca="false">dummy_variables!F294</f>
        <v>1</v>
      </c>
      <c r="J296" s="1" t="n">
        <f aca="false">dummy_variables!G294</f>
        <v>0</v>
      </c>
      <c r="K296" s="1" t="n">
        <f aca="false">dummy_variables!H294</f>
        <v>0</v>
      </c>
      <c r="L296" s="1" t="n">
        <f aca="false">dummy_variables!I294</f>
        <v>0</v>
      </c>
      <c r="M296" s="1" t="n">
        <f aca="false">dummy_variables!J294</f>
        <v>0</v>
      </c>
    </row>
    <row r="297" customFormat="false" ht="15" hidden="false" customHeight="true" outlineLevel="0" collapsed="false">
      <c r="A297" s="1" t="n">
        <v>291</v>
      </c>
      <c r="B297" s="1" t="n">
        <f aca="false">cleaned_data!F292</f>
        <v>8300</v>
      </c>
      <c r="C297" s="1" t="n">
        <f aca="false">cleaned_data!E292</f>
        <v>56737.3</v>
      </c>
      <c r="D297" s="1" t="n">
        <f aca="false">cleaned_data!H292</f>
        <v>21</v>
      </c>
      <c r="E297" s="1" t="n">
        <f aca="false">cleaned_data!I292</f>
        <v>83.2</v>
      </c>
      <c r="F297" s="1" t="n">
        <f aca="false">cleaned_data!G292</f>
        <v>0.032</v>
      </c>
      <c r="G297" s="1" t="n">
        <f aca="false">cleaned_data!K292</f>
        <v>1</v>
      </c>
      <c r="H297" s="1" t="n">
        <f aca="false">dummy_variables!E295</f>
        <v>0</v>
      </c>
      <c r="I297" s="1" t="n">
        <f aca="false">dummy_variables!F295</f>
        <v>1</v>
      </c>
      <c r="J297" s="1" t="n">
        <f aca="false">dummy_variables!G295</f>
        <v>0</v>
      </c>
      <c r="K297" s="1" t="n">
        <f aca="false">dummy_variables!H295</f>
        <v>0</v>
      </c>
      <c r="L297" s="1" t="n">
        <f aca="false">dummy_variables!I295</f>
        <v>0</v>
      </c>
      <c r="M297" s="1" t="n">
        <f aca="false">dummy_variables!J295</f>
        <v>0</v>
      </c>
    </row>
    <row r="298" customFormat="false" ht="15" hidden="false" customHeight="true" outlineLevel="0" collapsed="false">
      <c r="A298" s="1" t="n">
        <v>292</v>
      </c>
      <c r="B298" s="1" t="n">
        <f aca="false">cleaned_data!F293</f>
        <v>7083</v>
      </c>
      <c r="C298" s="1" t="n">
        <f aca="false">cleaned_data!E293</f>
        <v>54080.91</v>
      </c>
      <c r="D298" s="1" t="n">
        <f aca="false">cleaned_data!H293</f>
        <v>15</v>
      </c>
      <c r="E298" s="1" t="n">
        <f aca="false">cleaned_data!I293</f>
        <v>97</v>
      </c>
      <c r="F298" s="1" t="n">
        <f aca="false">cleaned_data!G293</f>
        <v>0</v>
      </c>
      <c r="G298" s="1" t="n">
        <f aca="false">cleaned_data!K293</f>
        <v>0</v>
      </c>
      <c r="H298" s="1" t="n">
        <f aca="false">dummy_variables!E296</f>
        <v>0</v>
      </c>
      <c r="I298" s="1" t="n">
        <f aca="false">dummy_variables!F296</f>
        <v>1</v>
      </c>
      <c r="J298" s="1" t="n">
        <f aca="false">dummy_variables!G296</f>
        <v>0</v>
      </c>
      <c r="K298" s="1" t="n">
        <f aca="false">dummy_variables!H296</f>
        <v>0</v>
      </c>
      <c r="L298" s="1" t="n">
        <f aca="false">dummy_variables!I296</f>
        <v>0</v>
      </c>
      <c r="M298" s="1" t="n">
        <f aca="false">dummy_variables!J296</f>
        <v>0</v>
      </c>
    </row>
    <row r="299" customFormat="false" ht="15" hidden="false" customHeight="true" outlineLevel="0" collapsed="false">
      <c r="A299" s="1" t="n">
        <v>293</v>
      </c>
      <c r="B299" s="1" t="n">
        <f aca="false">cleaned_data!F294</f>
        <v>3834</v>
      </c>
      <c r="C299" s="1" t="n">
        <f aca="false">cleaned_data!E294</f>
        <v>51996.32</v>
      </c>
      <c r="D299" s="1" t="n">
        <f aca="false">cleaned_data!H294</f>
        <v>8</v>
      </c>
      <c r="E299" s="1" t="n">
        <f aca="false">cleaned_data!I294</f>
        <v>86.7</v>
      </c>
      <c r="F299" s="1" t="n">
        <f aca="false">cleaned_data!G294</f>
        <v>0.096</v>
      </c>
      <c r="G299" s="1" t="n">
        <f aca="false">cleaned_data!K294</f>
        <v>0</v>
      </c>
      <c r="H299" s="1" t="n">
        <f aca="false">dummy_variables!E297</f>
        <v>0</v>
      </c>
      <c r="I299" s="1" t="n">
        <f aca="false">dummy_variables!F297</f>
        <v>0</v>
      </c>
      <c r="J299" s="1" t="n">
        <f aca="false">dummy_variables!G297</f>
        <v>0</v>
      </c>
      <c r="K299" s="1" t="n">
        <f aca="false">dummy_variables!H297</f>
        <v>0</v>
      </c>
      <c r="L299" s="1" t="n">
        <f aca="false">dummy_variables!I297</f>
        <v>0</v>
      </c>
      <c r="M299" s="1" t="n">
        <f aca="false">dummy_variables!J297</f>
        <v>1</v>
      </c>
    </row>
    <row r="300" customFormat="false" ht="15" hidden="false" customHeight="true" outlineLevel="0" collapsed="false">
      <c r="A300" s="1" t="n">
        <v>294</v>
      </c>
      <c r="B300" s="1" t="n">
        <f aca="false">cleaned_data!F295</f>
        <v>2358</v>
      </c>
      <c r="C300" s="1" t="n">
        <f aca="false">cleaned_data!E295</f>
        <v>40102.88</v>
      </c>
      <c r="D300" s="1" t="n">
        <f aca="false">cleaned_data!H295</f>
        <v>9</v>
      </c>
      <c r="E300" s="1" t="n">
        <f aca="false">cleaned_data!I295</f>
        <v>88.7</v>
      </c>
      <c r="F300" s="1" t="n">
        <f aca="false">cleaned_data!G295</f>
        <v>0.119</v>
      </c>
      <c r="G300" s="1" t="n">
        <f aca="false">cleaned_data!K295</f>
        <v>0</v>
      </c>
      <c r="H300" s="1" t="n">
        <f aca="false">dummy_variables!E298</f>
        <v>0</v>
      </c>
      <c r="I300" s="1" t="n">
        <f aca="false">dummy_variables!F298</f>
        <v>0</v>
      </c>
      <c r="J300" s="1" t="n">
        <f aca="false">dummy_variables!G298</f>
        <v>0</v>
      </c>
      <c r="K300" s="1" t="n">
        <f aca="false">dummy_variables!H298</f>
        <v>0</v>
      </c>
      <c r="L300" s="1" t="n">
        <f aca="false">dummy_variables!I298</f>
        <v>0</v>
      </c>
      <c r="M300" s="1" t="n">
        <f aca="false">dummy_variables!J298</f>
        <v>1</v>
      </c>
    </row>
    <row r="301" customFormat="false" ht="15" hidden="false" customHeight="true" outlineLevel="0" collapsed="false">
      <c r="A301" s="1" t="n">
        <v>295</v>
      </c>
      <c r="B301" s="1" t="n">
        <f aca="false">cleaned_data!F296</f>
        <v>1231</v>
      </c>
      <c r="C301" s="1" t="n">
        <f aca="false">cleaned_data!E296</f>
        <v>59825.51</v>
      </c>
      <c r="D301" s="1" t="n">
        <f aca="false">cleaned_data!H296</f>
        <v>10</v>
      </c>
      <c r="E301" s="1" t="n">
        <f aca="false">cleaned_data!I296</f>
        <v>84.8</v>
      </c>
      <c r="F301" s="1" t="n">
        <f aca="false">cleaned_data!G296</f>
        <v>0.214</v>
      </c>
      <c r="G301" s="1" t="n">
        <f aca="false">cleaned_data!K296</f>
        <v>0</v>
      </c>
      <c r="H301" s="1" t="n">
        <f aca="false">dummy_variables!E299</f>
        <v>0</v>
      </c>
      <c r="I301" s="1" t="n">
        <f aca="false">dummy_variables!F299</f>
        <v>0</v>
      </c>
      <c r="J301" s="1" t="n">
        <f aca="false">dummy_variables!G299</f>
        <v>0</v>
      </c>
      <c r="K301" s="1" t="n">
        <f aca="false">dummy_variables!H299</f>
        <v>0</v>
      </c>
      <c r="L301" s="1" t="n">
        <f aca="false">dummy_variables!I299</f>
        <v>0</v>
      </c>
      <c r="M301" s="1" t="n">
        <f aca="false">dummy_variables!J299</f>
        <v>1</v>
      </c>
    </row>
    <row r="302" customFormat="false" ht="15" hidden="false" customHeight="true" outlineLevel="0" collapsed="false">
      <c r="A302" s="1" t="n">
        <v>296</v>
      </c>
      <c r="B302" s="1" t="n">
        <f aca="false">cleaned_data!F297</f>
        <v>1723</v>
      </c>
      <c r="C302" s="1" t="n">
        <f aca="false">cleaned_data!E297</f>
        <v>27398.28</v>
      </c>
      <c r="D302" s="1" t="n">
        <f aca="false">cleaned_data!H297</f>
        <v>9</v>
      </c>
      <c r="E302" s="1" t="n">
        <f aca="false">cleaned_data!I297</f>
        <v>81</v>
      </c>
      <c r="F302" s="1" t="n">
        <f aca="false">cleaned_data!G297</f>
        <v>0.171</v>
      </c>
      <c r="G302" s="1" t="n">
        <f aca="false">cleaned_data!K297</f>
        <v>0</v>
      </c>
      <c r="H302" s="1" t="n">
        <f aca="false">dummy_variables!E300</f>
        <v>0</v>
      </c>
      <c r="I302" s="1" t="n">
        <f aca="false">dummy_variables!F300</f>
        <v>0</v>
      </c>
      <c r="J302" s="1" t="n">
        <f aca="false">dummy_variables!G300</f>
        <v>0</v>
      </c>
      <c r="K302" s="1" t="n">
        <f aca="false">dummy_variables!H300</f>
        <v>0</v>
      </c>
      <c r="L302" s="1" t="n">
        <f aca="false">dummy_variables!I300</f>
        <v>0</v>
      </c>
      <c r="M302" s="1" t="n">
        <f aca="false">dummy_variables!J300</f>
        <v>1</v>
      </c>
    </row>
    <row r="303" customFormat="false" ht="15" hidden="false" customHeight="true" outlineLevel="0" collapsed="false">
      <c r="A303" s="1" t="n">
        <v>297</v>
      </c>
      <c r="B303" s="1" t="n">
        <f aca="false">cleaned_data!F298</f>
        <v>5896</v>
      </c>
      <c r="C303" s="1" t="n">
        <f aca="false">cleaned_data!E298</f>
        <v>55599.56</v>
      </c>
      <c r="D303" s="1" t="n">
        <f aca="false">cleaned_data!H298</f>
        <v>12</v>
      </c>
      <c r="E303" s="1" t="n">
        <f aca="false">cleaned_data!I298</f>
        <v>93.1</v>
      </c>
      <c r="F303" s="1" t="n">
        <f aca="false">cleaned_data!G298</f>
        <v>0.036</v>
      </c>
      <c r="G303" s="1" t="n">
        <f aca="false">cleaned_data!K298</f>
        <v>0</v>
      </c>
      <c r="H303" s="1" t="n">
        <f aca="false">dummy_variables!E301</f>
        <v>0</v>
      </c>
      <c r="I303" s="1" t="n">
        <f aca="false">dummy_variables!F301</f>
        <v>0</v>
      </c>
      <c r="J303" s="1" t="n">
        <f aca="false">dummy_variables!G301</f>
        <v>0</v>
      </c>
      <c r="K303" s="1" t="n">
        <f aca="false">dummy_variables!H301</f>
        <v>0</v>
      </c>
      <c r="L303" s="1" t="n">
        <f aca="false">dummy_variables!I301</f>
        <v>0</v>
      </c>
      <c r="M303" s="1" t="n">
        <f aca="false">dummy_variables!J301</f>
        <v>1</v>
      </c>
    </row>
    <row r="304" customFormat="false" ht="15" hidden="false" customHeight="true" outlineLevel="0" collapsed="false">
      <c r="A304" s="1" t="n">
        <v>298</v>
      </c>
      <c r="B304" s="1" t="n">
        <f aca="false">cleaned_data!F299</f>
        <v>5903</v>
      </c>
      <c r="C304" s="1" t="n">
        <f aca="false">cleaned_data!E299</f>
        <v>55477.61</v>
      </c>
      <c r="D304" s="1" t="n">
        <f aca="false">cleaned_data!H299</f>
        <v>14</v>
      </c>
      <c r="E304" s="1" t="n">
        <f aca="false">cleaned_data!I299</f>
        <v>96.2</v>
      </c>
      <c r="F304" s="1" t="n">
        <f aca="false">cleaned_data!G299</f>
        <v>0.102</v>
      </c>
      <c r="G304" s="1" t="n">
        <f aca="false">cleaned_data!K299</f>
        <v>0</v>
      </c>
      <c r="H304" s="1" t="n">
        <f aca="false">dummy_variables!E302</f>
        <v>0</v>
      </c>
      <c r="I304" s="1" t="n">
        <f aca="false">dummy_variables!F302</f>
        <v>0</v>
      </c>
      <c r="J304" s="1" t="n">
        <f aca="false">dummy_variables!G302</f>
        <v>0</v>
      </c>
      <c r="K304" s="1" t="n">
        <f aca="false">dummy_variables!H302</f>
        <v>0</v>
      </c>
      <c r="L304" s="1" t="n">
        <f aca="false">dummy_variables!I302</f>
        <v>0</v>
      </c>
      <c r="M304" s="1" t="n">
        <f aca="false">dummy_variables!J302</f>
        <v>1</v>
      </c>
    </row>
    <row r="305" customFormat="false" ht="15" hidden="false" customHeight="true" outlineLevel="0" collapsed="false">
      <c r="A305" s="1" t="n">
        <v>299</v>
      </c>
      <c r="B305" s="1" t="n">
        <f aca="false">cleaned_data!F300</f>
        <v>4898</v>
      </c>
      <c r="C305" s="1" t="n">
        <f aca="false">cleaned_data!E300</f>
        <v>46174.7</v>
      </c>
      <c r="D305" s="1" t="n">
        <f aca="false">cleaned_data!H300</f>
        <v>11</v>
      </c>
      <c r="E305" s="1" t="n">
        <f aca="false">cleaned_data!I300</f>
        <v>91.7</v>
      </c>
      <c r="F305" s="1" t="n">
        <f aca="false">cleaned_data!G300</f>
        <v>0.114</v>
      </c>
      <c r="G305" s="1" t="n">
        <f aca="false">cleaned_data!K300</f>
        <v>0</v>
      </c>
      <c r="H305" s="1" t="n">
        <f aca="false">dummy_variables!E303</f>
        <v>0</v>
      </c>
      <c r="I305" s="1" t="n">
        <f aca="false">dummy_variables!F303</f>
        <v>0</v>
      </c>
      <c r="J305" s="1" t="n">
        <f aca="false">dummy_variables!G303</f>
        <v>0</v>
      </c>
      <c r="K305" s="1" t="n">
        <f aca="false">dummy_variables!H303</f>
        <v>0</v>
      </c>
      <c r="L305" s="1" t="n">
        <f aca="false">dummy_variables!I303</f>
        <v>0</v>
      </c>
      <c r="M305" s="1" t="n">
        <f aca="false">dummy_variables!J303</f>
        <v>1</v>
      </c>
    </row>
    <row r="306" customFormat="false" ht="15" hidden="false" customHeight="true" outlineLevel="0" collapsed="false">
      <c r="A306" s="1" t="n">
        <v>300</v>
      </c>
      <c r="B306" s="1" t="n">
        <f aca="false">cleaned_data!F301</f>
        <v>1462</v>
      </c>
      <c r="C306" s="1" t="n">
        <f aca="false">cleaned_data!E301</f>
        <v>24362.98</v>
      </c>
      <c r="D306" s="1" t="n">
        <f aca="false">cleaned_data!H301</f>
        <v>6</v>
      </c>
      <c r="E306" s="1" t="n">
        <f aca="false">cleaned_data!I301</f>
        <v>89.3</v>
      </c>
      <c r="F306" s="1" t="n">
        <f aca="false">cleaned_data!G301</f>
        <v>0.117</v>
      </c>
      <c r="G306" s="1" t="n">
        <f aca="false">cleaned_data!K301</f>
        <v>0</v>
      </c>
      <c r="H306" s="1" t="n">
        <f aca="false">dummy_variables!E304</f>
        <v>0</v>
      </c>
      <c r="I306" s="1" t="n">
        <f aca="false">dummy_variables!F304</f>
        <v>0</v>
      </c>
      <c r="J306" s="1" t="n">
        <f aca="false">dummy_variables!G304</f>
        <v>0</v>
      </c>
      <c r="K306" s="1" t="n">
        <f aca="false">dummy_variables!H304</f>
        <v>0</v>
      </c>
      <c r="L306" s="1" t="n">
        <f aca="false">dummy_variables!I304</f>
        <v>0</v>
      </c>
      <c r="M306" s="1" t="n">
        <f aca="false">dummy_variables!J304</f>
        <v>1</v>
      </c>
    </row>
    <row r="307" customFormat="false" ht="15" hidden="false" customHeight="true" outlineLevel="0" collapsed="false">
      <c r="A307" s="1" t="n">
        <v>301</v>
      </c>
      <c r="B307" s="1" t="n">
        <f aca="false">cleaned_data!F302</f>
        <v>8252</v>
      </c>
      <c r="C307" s="1" t="n">
        <f aca="false">cleaned_data!E302</f>
        <v>40647.67</v>
      </c>
      <c r="D307" s="1" t="n">
        <f aca="false">cleaned_data!H302</f>
        <v>22</v>
      </c>
      <c r="E307" s="1" t="n">
        <f aca="false">cleaned_data!I302</f>
        <v>88.2</v>
      </c>
      <c r="F307" s="1" t="n">
        <f aca="false">cleaned_data!G302</f>
        <v>0.141</v>
      </c>
      <c r="G307" s="1" t="n">
        <f aca="false">cleaned_data!K302</f>
        <v>1</v>
      </c>
      <c r="H307" s="1" t="n">
        <f aca="false">dummy_variables!E305</f>
        <v>1</v>
      </c>
      <c r="I307" s="1" t="n">
        <f aca="false">dummy_variables!F305</f>
        <v>0</v>
      </c>
      <c r="J307" s="1" t="n">
        <f aca="false">dummy_variables!G305</f>
        <v>0</v>
      </c>
      <c r="K307" s="1" t="n">
        <f aca="false">dummy_variables!H305</f>
        <v>1</v>
      </c>
      <c r="L307" s="1" t="n">
        <f aca="false">dummy_variables!I305</f>
        <v>0</v>
      </c>
      <c r="M307" s="1" t="n">
        <f aca="false">dummy_variables!J305</f>
        <v>0</v>
      </c>
    </row>
    <row r="308" customFormat="false" ht="15" hidden="false" customHeight="true" outlineLevel="0" collapsed="false">
      <c r="A308" s="1" t="n">
        <v>302</v>
      </c>
      <c r="B308" s="1" t="n">
        <f aca="false">cleaned_data!F303</f>
        <v>7989</v>
      </c>
      <c r="C308" s="1" t="n">
        <f aca="false">cleaned_data!E303</f>
        <v>63986.98</v>
      </c>
      <c r="D308" s="1" t="n">
        <f aca="false">cleaned_data!H303</f>
        <v>20</v>
      </c>
      <c r="E308" s="1" t="n">
        <f aca="false">cleaned_data!I303</f>
        <v>83.3</v>
      </c>
      <c r="F308" s="1" t="n">
        <f aca="false">cleaned_data!G303</f>
        <v>0.074</v>
      </c>
      <c r="G308" s="1" t="n">
        <f aca="false">cleaned_data!K303</f>
        <v>0</v>
      </c>
      <c r="H308" s="1" t="n">
        <f aca="false">dummy_variables!E306</f>
        <v>1</v>
      </c>
      <c r="I308" s="1" t="n">
        <f aca="false">dummy_variables!F306</f>
        <v>0</v>
      </c>
      <c r="J308" s="1" t="n">
        <f aca="false">dummy_variables!G306</f>
        <v>0</v>
      </c>
      <c r="K308" s="1" t="n">
        <f aca="false">dummy_variables!H306</f>
        <v>1</v>
      </c>
      <c r="L308" s="1" t="n">
        <f aca="false">dummy_variables!I306</f>
        <v>0</v>
      </c>
      <c r="M308" s="1" t="n">
        <f aca="false">dummy_variables!J306</f>
        <v>0</v>
      </c>
    </row>
    <row r="309" customFormat="false" ht="15" hidden="false" customHeight="true" outlineLevel="0" collapsed="false">
      <c r="A309" s="1" t="n">
        <v>303</v>
      </c>
      <c r="B309" s="1" t="n">
        <f aca="false">cleaned_data!F304</f>
        <v>8268</v>
      </c>
      <c r="C309" s="1" t="n">
        <f aca="false">cleaned_data!E304</f>
        <v>52843.75</v>
      </c>
      <c r="D309" s="1" t="n">
        <f aca="false">cleaned_data!H304</f>
        <v>19</v>
      </c>
      <c r="E309" s="1" t="n">
        <f aca="false">cleaned_data!I304</f>
        <v>87.3</v>
      </c>
      <c r="F309" s="1" t="n">
        <f aca="false">cleaned_data!G304</f>
        <v>0.138</v>
      </c>
      <c r="G309" s="1" t="n">
        <f aca="false">cleaned_data!K304</f>
        <v>1</v>
      </c>
      <c r="H309" s="1" t="n">
        <f aca="false">dummy_variables!E307</f>
        <v>1</v>
      </c>
      <c r="I309" s="1" t="n">
        <f aca="false">dummy_variables!F307</f>
        <v>0</v>
      </c>
      <c r="J309" s="1" t="n">
        <f aca="false">dummy_variables!G307</f>
        <v>0</v>
      </c>
      <c r="K309" s="1" t="n">
        <f aca="false">dummy_variables!H307</f>
        <v>1</v>
      </c>
      <c r="L309" s="1" t="n">
        <f aca="false">dummy_variables!I307</f>
        <v>0</v>
      </c>
      <c r="M309" s="1" t="n">
        <f aca="false">dummy_variables!J307</f>
        <v>0</v>
      </c>
    </row>
    <row r="310" customFormat="false" ht="15" hidden="false" customHeight="true" outlineLevel="0" collapsed="false">
      <c r="A310" s="1" t="n">
        <v>304</v>
      </c>
      <c r="B310" s="1" t="n">
        <f aca="false">cleaned_data!F305</f>
        <v>8183</v>
      </c>
      <c r="C310" s="1" t="n">
        <f aca="false">cleaned_data!E305</f>
        <v>31997.25</v>
      </c>
      <c r="D310" s="1" t="n">
        <f aca="false">cleaned_data!H305</f>
        <v>18</v>
      </c>
      <c r="E310" s="1" t="n">
        <f aca="false">cleaned_data!I305</f>
        <v>93</v>
      </c>
      <c r="F310" s="1" t="n">
        <f aca="false">cleaned_data!G305</f>
        <v>0.198</v>
      </c>
      <c r="G310" s="1" t="n">
        <f aca="false">cleaned_data!K305</f>
        <v>0</v>
      </c>
      <c r="H310" s="1" t="n">
        <f aca="false">dummy_variables!E308</f>
        <v>1</v>
      </c>
      <c r="I310" s="1" t="n">
        <f aca="false">dummy_variables!F308</f>
        <v>0</v>
      </c>
      <c r="J310" s="1" t="n">
        <f aca="false">dummy_variables!G308</f>
        <v>0</v>
      </c>
      <c r="K310" s="1" t="n">
        <f aca="false">dummy_variables!H308</f>
        <v>1</v>
      </c>
      <c r="L310" s="1" t="n">
        <f aca="false">dummy_variables!I308</f>
        <v>0</v>
      </c>
      <c r="M310" s="1" t="n">
        <f aca="false">dummy_variables!J308</f>
        <v>0</v>
      </c>
    </row>
    <row r="311" customFormat="false" ht="15" hidden="false" customHeight="true" outlineLevel="0" collapsed="false">
      <c r="A311" s="1" t="n">
        <v>305</v>
      </c>
      <c r="B311" s="1" t="n">
        <f aca="false">cleaned_data!F306</f>
        <v>6534</v>
      </c>
      <c r="C311" s="1" t="n">
        <f aca="false">cleaned_data!E306</f>
        <v>54948.02</v>
      </c>
      <c r="D311" s="1" t="n">
        <f aca="false">cleaned_data!H306</f>
        <v>14</v>
      </c>
      <c r="E311" s="1" t="n">
        <f aca="false">cleaned_data!I306</f>
        <v>94.5</v>
      </c>
      <c r="F311" s="1" t="n">
        <f aca="false">cleaned_data!G306</f>
        <v>0.183</v>
      </c>
      <c r="G311" s="1" t="n">
        <f aca="false">cleaned_data!K306</f>
        <v>0</v>
      </c>
      <c r="H311" s="1" t="n">
        <f aca="false">dummy_variables!E309</f>
        <v>0</v>
      </c>
      <c r="I311" s="1" t="n">
        <f aca="false">dummy_variables!F309</f>
        <v>1</v>
      </c>
      <c r="J311" s="1" t="n">
        <f aca="false">dummy_variables!G309</f>
        <v>0</v>
      </c>
      <c r="K311" s="1" t="n">
        <f aca="false">dummy_variables!H309</f>
        <v>0</v>
      </c>
      <c r="L311" s="1" t="n">
        <f aca="false">dummy_variables!I309</f>
        <v>1</v>
      </c>
      <c r="M311" s="1" t="n">
        <f aca="false">dummy_variables!J309</f>
        <v>0</v>
      </c>
    </row>
    <row r="312" customFormat="false" ht="15" hidden="false" customHeight="true" outlineLevel="0" collapsed="false">
      <c r="A312" s="1" t="n">
        <v>306</v>
      </c>
      <c r="B312" s="1" t="n">
        <f aca="false">cleaned_data!F307</f>
        <v>5804</v>
      </c>
      <c r="C312" s="1" t="n">
        <f aca="false">cleaned_data!E307</f>
        <v>46146.24</v>
      </c>
      <c r="D312" s="1" t="n">
        <f aca="false">cleaned_data!H307</f>
        <v>16</v>
      </c>
      <c r="E312" s="1" t="n">
        <f aca="false">cleaned_data!I307</f>
        <v>86.9</v>
      </c>
      <c r="F312" s="1" t="n">
        <f aca="false">cleaned_data!G307</f>
        <v>0.047</v>
      </c>
      <c r="G312" s="1" t="n">
        <f aca="false">cleaned_data!K307</f>
        <v>0</v>
      </c>
      <c r="H312" s="1" t="n">
        <f aca="false">dummy_variables!E310</f>
        <v>0</v>
      </c>
      <c r="I312" s="1" t="n">
        <f aca="false">dummy_variables!F310</f>
        <v>1</v>
      </c>
      <c r="J312" s="1" t="n">
        <f aca="false">dummy_variables!G310</f>
        <v>0</v>
      </c>
      <c r="K312" s="1" t="n">
        <f aca="false">dummy_variables!H310</f>
        <v>0</v>
      </c>
      <c r="L312" s="1" t="n">
        <f aca="false">dummy_variables!I310</f>
        <v>1</v>
      </c>
      <c r="M312" s="1" t="n">
        <f aca="false">dummy_variables!J310</f>
        <v>0</v>
      </c>
    </row>
    <row r="313" customFormat="false" ht="15" hidden="false" customHeight="true" outlineLevel="0" collapsed="false">
      <c r="A313" s="1" t="n">
        <v>307</v>
      </c>
      <c r="B313" s="1" t="n">
        <f aca="false">cleaned_data!F308</f>
        <v>6301</v>
      </c>
      <c r="C313" s="1" t="n">
        <f aca="false">cleaned_data!E308</f>
        <v>22387.26</v>
      </c>
      <c r="D313" s="1" t="n">
        <f aca="false">cleaned_data!H308</f>
        <v>14</v>
      </c>
      <c r="E313" s="1" t="n">
        <f aca="false">cleaned_data!I308</f>
        <v>85.9</v>
      </c>
      <c r="F313" s="1" t="n">
        <f aca="false">cleaned_data!G308</f>
        <v>0.146</v>
      </c>
      <c r="G313" s="1" t="n">
        <f aca="false">cleaned_data!K308</f>
        <v>1</v>
      </c>
      <c r="H313" s="1" t="n">
        <f aca="false">dummy_variables!E311</f>
        <v>0</v>
      </c>
      <c r="I313" s="1" t="n">
        <f aca="false">dummy_variables!F311</f>
        <v>1</v>
      </c>
      <c r="J313" s="1" t="n">
        <f aca="false">dummy_variables!G311</f>
        <v>0</v>
      </c>
      <c r="K313" s="1" t="n">
        <f aca="false">dummy_variables!H311</f>
        <v>0</v>
      </c>
      <c r="L313" s="1" t="n">
        <f aca="false">dummy_variables!I311</f>
        <v>1</v>
      </c>
      <c r="M313" s="1" t="n">
        <f aca="false">dummy_variables!J311</f>
        <v>0</v>
      </c>
    </row>
    <row r="314" customFormat="false" ht="15" hidden="false" customHeight="true" outlineLevel="0" collapsed="false">
      <c r="A314" s="1" t="n">
        <v>308</v>
      </c>
      <c r="B314" s="1" t="n">
        <f aca="false">cleaned_data!F309</f>
        <v>6399</v>
      </c>
      <c r="C314" s="1" t="n">
        <f aca="false">cleaned_data!E309</f>
        <v>60684.05</v>
      </c>
      <c r="D314" s="1" t="n">
        <f aca="false">cleaned_data!H309</f>
        <v>16</v>
      </c>
      <c r="E314" s="1" t="n">
        <f aca="false">cleaned_data!I309</f>
        <v>99</v>
      </c>
      <c r="F314" s="1" t="n">
        <f aca="false">cleaned_data!G309</f>
        <v>0.075</v>
      </c>
      <c r="G314" s="1" t="n">
        <f aca="false">cleaned_data!K309</f>
        <v>0</v>
      </c>
      <c r="H314" s="1" t="n">
        <f aca="false">dummy_variables!E312</f>
        <v>0</v>
      </c>
      <c r="I314" s="1" t="n">
        <f aca="false">dummy_variables!F312</f>
        <v>1</v>
      </c>
      <c r="J314" s="1" t="n">
        <f aca="false">dummy_variables!G312</f>
        <v>0</v>
      </c>
      <c r="K314" s="1" t="n">
        <f aca="false">dummy_variables!H312</f>
        <v>0</v>
      </c>
      <c r="L314" s="1" t="n">
        <f aca="false">dummy_variables!I312</f>
        <v>1</v>
      </c>
      <c r="M314" s="1" t="n">
        <f aca="false">dummy_variables!J312</f>
        <v>0</v>
      </c>
    </row>
    <row r="315" customFormat="false" ht="15" hidden="false" customHeight="true" outlineLevel="0" collapsed="false">
      <c r="A315" s="1" t="n">
        <v>309</v>
      </c>
      <c r="B315" s="1" t="n">
        <f aca="false">cleaned_data!F310</f>
        <v>5759</v>
      </c>
      <c r="C315" s="1" t="n">
        <f aca="false">cleaned_data!E310</f>
        <v>48465.6</v>
      </c>
      <c r="D315" s="1" t="n">
        <f aca="false">cleaned_data!H310</f>
        <v>13</v>
      </c>
      <c r="E315" s="1" t="n">
        <f aca="false">cleaned_data!I310</f>
        <v>87.5</v>
      </c>
      <c r="F315" s="1" t="n">
        <f aca="false">cleaned_data!G310</f>
        <v>0.154</v>
      </c>
      <c r="G315" s="1" t="n">
        <f aca="false">cleaned_data!K310</f>
        <v>0</v>
      </c>
      <c r="H315" s="1" t="n">
        <f aca="false">dummy_variables!E313</f>
        <v>0</v>
      </c>
      <c r="I315" s="1" t="n">
        <f aca="false">dummy_variables!F313</f>
        <v>0</v>
      </c>
      <c r="J315" s="1" t="n">
        <f aca="false">dummy_variables!G313</f>
        <v>0</v>
      </c>
      <c r="K315" s="1" t="n">
        <f aca="false">dummy_variables!H313</f>
        <v>0</v>
      </c>
      <c r="L315" s="1" t="n">
        <f aca="false">dummy_variables!I313</f>
        <v>1</v>
      </c>
      <c r="M315" s="1" t="n">
        <f aca="false">dummy_variables!J313</f>
        <v>0</v>
      </c>
    </row>
    <row r="316" customFormat="false" ht="15" hidden="false" customHeight="true" outlineLevel="0" collapsed="false">
      <c r="A316" s="1" t="n">
        <v>310</v>
      </c>
      <c r="B316" s="1" t="n">
        <f aca="false">cleaned_data!F311</f>
        <v>5285</v>
      </c>
      <c r="C316" s="1" t="n">
        <f aca="false">cleaned_data!E311</f>
        <v>23702.38</v>
      </c>
      <c r="D316" s="1" t="n">
        <f aca="false">cleaned_data!H311</f>
        <v>14</v>
      </c>
      <c r="E316" s="1" t="n">
        <f aca="false">cleaned_data!I311</f>
        <v>79.7</v>
      </c>
      <c r="F316" s="1" t="n">
        <f aca="false">cleaned_data!G311</f>
        <v>0.167</v>
      </c>
      <c r="G316" s="1" t="n">
        <f aca="false">cleaned_data!K311</f>
        <v>0</v>
      </c>
      <c r="H316" s="1" t="n">
        <f aca="false">dummy_variables!E314</f>
        <v>0</v>
      </c>
      <c r="I316" s="1" t="n">
        <f aca="false">dummy_variables!F314</f>
        <v>0</v>
      </c>
      <c r="J316" s="1" t="n">
        <f aca="false">dummy_variables!G314</f>
        <v>0</v>
      </c>
      <c r="K316" s="1" t="n">
        <f aca="false">dummy_variables!H314</f>
        <v>0</v>
      </c>
      <c r="L316" s="1" t="n">
        <f aca="false">dummy_variables!I314</f>
        <v>1</v>
      </c>
      <c r="M316" s="1" t="n">
        <f aca="false">dummy_variables!J314</f>
        <v>0</v>
      </c>
    </row>
    <row r="317" customFormat="false" ht="15" hidden="false" customHeight="true" outlineLevel="0" collapsed="false">
      <c r="A317" s="1" t="n">
        <v>311</v>
      </c>
      <c r="B317" s="1" t="n">
        <f aca="false">cleaned_data!F312</f>
        <v>5434</v>
      </c>
      <c r="C317" s="1" t="n">
        <f aca="false">cleaned_data!E312</f>
        <v>54322.94</v>
      </c>
      <c r="D317" s="1" t="n">
        <f aca="false">cleaned_data!H312</f>
        <v>13</v>
      </c>
      <c r="E317" s="1" t="n">
        <f aca="false">cleaned_data!I312</f>
        <v>85.7</v>
      </c>
      <c r="F317" s="1" t="n">
        <f aca="false">cleaned_data!G312</f>
        <v>0.2</v>
      </c>
      <c r="G317" s="1" t="n">
        <f aca="false">cleaned_data!K312</f>
        <v>0</v>
      </c>
      <c r="H317" s="1" t="n">
        <f aca="false">dummy_variables!E315</f>
        <v>0</v>
      </c>
      <c r="I317" s="1" t="n">
        <f aca="false">dummy_variables!F315</f>
        <v>0</v>
      </c>
      <c r="J317" s="1" t="n">
        <f aca="false">dummy_variables!G315</f>
        <v>0</v>
      </c>
      <c r="K317" s="1" t="n">
        <f aca="false">dummy_variables!H315</f>
        <v>0</v>
      </c>
      <c r="L317" s="1" t="n">
        <f aca="false">dummy_variables!I315</f>
        <v>1</v>
      </c>
      <c r="M317" s="1" t="n">
        <f aca="false">dummy_variables!J315</f>
        <v>0</v>
      </c>
    </row>
    <row r="318" customFormat="false" ht="15" hidden="false" customHeight="true" outlineLevel="0" collapsed="false">
      <c r="A318" s="1" t="n">
        <v>312</v>
      </c>
      <c r="B318" s="1" t="n">
        <f aca="false">cleaned_data!F313</f>
        <v>7479</v>
      </c>
      <c r="C318" s="1" t="n">
        <f aca="false">cleaned_data!E313</f>
        <v>86026.58</v>
      </c>
      <c r="D318" s="1" t="n">
        <f aca="false">cleaned_data!H313</f>
        <v>20</v>
      </c>
      <c r="E318" s="1" t="n">
        <f aca="false">cleaned_data!I313</f>
        <v>89</v>
      </c>
      <c r="F318" s="1" t="n">
        <f aca="false">cleaned_data!G313</f>
        <v>0.142</v>
      </c>
      <c r="G318" s="1" t="n">
        <f aca="false">cleaned_data!K313</f>
        <v>0</v>
      </c>
      <c r="H318" s="1" t="n">
        <f aca="false">dummy_variables!E316</f>
        <v>0</v>
      </c>
      <c r="I318" s="1" t="n">
        <f aca="false">dummy_variables!F316</f>
        <v>0</v>
      </c>
      <c r="J318" s="1" t="n">
        <f aca="false">dummy_variables!G316</f>
        <v>0</v>
      </c>
      <c r="K318" s="1" t="n">
        <f aca="false">dummy_variables!H316</f>
        <v>0</v>
      </c>
      <c r="L318" s="1" t="n">
        <f aca="false">dummy_variables!I316</f>
        <v>1</v>
      </c>
      <c r="M318" s="1" t="n">
        <f aca="false">dummy_variables!J316</f>
        <v>0</v>
      </c>
    </row>
    <row r="319" customFormat="false" ht="15" hidden="false" customHeight="true" outlineLevel="0" collapsed="false">
      <c r="A319" s="1" t="n">
        <v>313</v>
      </c>
      <c r="B319" s="1" t="n">
        <f aca="false">cleaned_data!F314</f>
        <v>6164</v>
      </c>
      <c r="C319" s="1" t="n">
        <f aca="false">cleaned_data!E314</f>
        <v>78967.52</v>
      </c>
      <c r="D319" s="1" t="n">
        <f aca="false">cleaned_data!H314</f>
        <v>16</v>
      </c>
      <c r="E319" s="1" t="n">
        <f aca="false">cleaned_data!I314</f>
        <v>85.5</v>
      </c>
      <c r="F319" s="1" t="n">
        <f aca="false">cleaned_data!G314</f>
        <v>0.021</v>
      </c>
      <c r="G319" s="1" t="n">
        <f aca="false">cleaned_data!K314</f>
        <v>0</v>
      </c>
      <c r="H319" s="1" t="n">
        <f aca="false">dummy_variables!E317</f>
        <v>0</v>
      </c>
      <c r="I319" s="1" t="n">
        <f aca="false">dummy_variables!F317</f>
        <v>1</v>
      </c>
      <c r="J319" s="1" t="n">
        <f aca="false">dummy_variables!G317</f>
        <v>0</v>
      </c>
      <c r="K319" s="1" t="n">
        <f aca="false">dummy_variables!H317</f>
        <v>1</v>
      </c>
      <c r="L319" s="1" t="n">
        <f aca="false">dummy_variables!I317</f>
        <v>0</v>
      </c>
      <c r="M319" s="1" t="n">
        <f aca="false">dummy_variables!J317</f>
        <v>0</v>
      </c>
    </row>
    <row r="320" customFormat="false" ht="15" hidden="false" customHeight="true" outlineLevel="0" collapsed="false">
      <c r="A320" s="1" t="n">
        <v>314</v>
      </c>
      <c r="B320" s="1" t="n">
        <f aca="false">cleaned_data!F315</f>
        <v>7973</v>
      </c>
      <c r="C320" s="1" t="n">
        <f aca="false">cleaned_data!E315</f>
        <v>46767.99</v>
      </c>
      <c r="D320" s="1" t="n">
        <f aca="false">cleaned_data!H315</f>
        <v>18</v>
      </c>
      <c r="E320" s="1" t="n">
        <f aca="false">cleaned_data!I315</f>
        <v>94.8</v>
      </c>
      <c r="F320" s="1" t="n">
        <f aca="false">cleaned_data!G315</f>
        <v>0.183</v>
      </c>
      <c r="G320" s="1" t="n">
        <f aca="false">cleaned_data!K315</f>
        <v>0</v>
      </c>
      <c r="H320" s="1" t="n">
        <f aca="false">dummy_variables!E318</f>
        <v>0</v>
      </c>
      <c r="I320" s="1" t="n">
        <f aca="false">dummy_variables!F318</f>
        <v>1</v>
      </c>
      <c r="J320" s="1" t="n">
        <f aca="false">dummy_variables!G318</f>
        <v>0</v>
      </c>
      <c r="K320" s="1" t="n">
        <f aca="false">dummy_variables!H318</f>
        <v>1</v>
      </c>
      <c r="L320" s="1" t="n">
        <f aca="false">dummy_variables!I318</f>
        <v>0</v>
      </c>
      <c r="M320" s="1" t="n">
        <f aca="false">dummy_variables!J318</f>
        <v>0</v>
      </c>
    </row>
    <row r="321" customFormat="false" ht="15" hidden="false" customHeight="true" outlineLevel="0" collapsed="false">
      <c r="A321" s="1" t="n">
        <v>315</v>
      </c>
      <c r="B321" s="1" t="n">
        <f aca="false">cleaned_data!F316</f>
        <v>6000</v>
      </c>
      <c r="C321" s="1" t="n">
        <f aca="false">cleaned_data!E316</f>
        <v>62507.16</v>
      </c>
      <c r="D321" s="1" t="n">
        <f aca="false">cleaned_data!H316</f>
        <v>14</v>
      </c>
      <c r="E321" s="1" t="n">
        <f aca="false">cleaned_data!I316</f>
        <v>98.2</v>
      </c>
      <c r="F321" s="1" t="n">
        <f aca="false">cleaned_data!G316</f>
        <v>0.091</v>
      </c>
      <c r="G321" s="1" t="n">
        <f aca="false">cleaned_data!K316</f>
        <v>1</v>
      </c>
      <c r="H321" s="1" t="n">
        <f aca="false">dummy_variables!E319</f>
        <v>0</v>
      </c>
      <c r="I321" s="1" t="n">
        <f aca="false">dummy_variables!F319</f>
        <v>1</v>
      </c>
      <c r="J321" s="1" t="n">
        <f aca="false">dummy_variables!G319</f>
        <v>0</v>
      </c>
      <c r="K321" s="1" t="n">
        <f aca="false">dummy_variables!H319</f>
        <v>1</v>
      </c>
      <c r="L321" s="1" t="n">
        <f aca="false">dummy_variables!I319</f>
        <v>0</v>
      </c>
      <c r="M321" s="1" t="n">
        <f aca="false">dummy_variables!J319</f>
        <v>0</v>
      </c>
    </row>
    <row r="322" customFormat="false" ht="15" hidden="false" customHeight="true" outlineLevel="0" collapsed="false">
      <c r="A322" s="1" t="n">
        <v>316</v>
      </c>
      <c r="B322" s="1" t="n">
        <f aca="false">cleaned_data!F317</f>
        <v>9967</v>
      </c>
      <c r="C322" s="1" t="n">
        <f aca="false">cleaned_data!E317</f>
        <v>66456.28</v>
      </c>
      <c r="D322" s="1" t="n">
        <f aca="false">cleaned_data!H317</f>
        <v>20</v>
      </c>
      <c r="E322" s="1" t="n">
        <f aca="false">cleaned_data!I317</f>
        <v>94.7</v>
      </c>
      <c r="F322" s="1" t="n">
        <f aca="false">cleaned_data!G317</f>
        <v>0.108</v>
      </c>
      <c r="G322" s="1" t="n">
        <f aca="false">cleaned_data!K317</f>
        <v>0</v>
      </c>
      <c r="H322" s="1" t="n">
        <f aca="false">dummy_variables!E320</f>
        <v>0</v>
      </c>
      <c r="I322" s="1" t="n">
        <f aca="false">dummy_variables!F320</f>
        <v>1</v>
      </c>
      <c r="J322" s="1" t="n">
        <f aca="false">dummy_variables!G320</f>
        <v>0</v>
      </c>
      <c r="K322" s="1" t="n">
        <f aca="false">dummy_variables!H320</f>
        <v>1</v>
      </c>
      <c r="L322" s="1" t="n">
        <f aca="false">dummy_variables!I320</f>
        <v>0</v>
      </c>
      <c r="M322" s="1" t="n">
        <f aca="false">dummy_variables!J320</f>
        <v>0</v>
      </c>
    </row>
    <row r="323" customFormat="false" ht="15" hidden="false" customHeight="true" outlineLevel="0" collapsed="false">
      <c r="A323" s="1" t="n">
        <v>317</v>
      </c>
      <c r="B323" s="1" t="n">
        <f aca="false">cleaned_data!F318</f>
        <v>5639</v>
      </c>
      <c r="C323" s="1" t="n">
        <f aca="false">cleaned_data!E318</f>
        <v>76614.32</v>
      </c>
      <c r="D323" s="1" t="n">
        <f aca="false">cleaned_data!H318</f>
        <v>15</v>
      </c>
      <c r="E323" s="1" t="n">
        <f aca="false">cleaned_data!I318</f>
        <v>92.9</v>
      </c>
      <c r="F323" s="1" t="n">
        <f aca="false">cleaned_data!G318</f>
        <v>0.174</v>
      </c>
      <c r="G323" s="1" t="n">
        <f aca="false">cleaned_data!K318</f>
        <v>1</v>
      </c>
      <c r="H323" s="1" t="n">
        <f aca="false">dummy_variables!E321</f>
        <v>0</v>
      </c>
      <c r="I323" s="1" t="n">
        <f aca="false">dummy_variables!F321</f>
        <v>1</v>
      </c>
      <c r="J323" s="1" t="n">
        <f aca="false">dummy_variables!G321</f>
        <v>0</v>
      </c>
      <c r="K323" s="1" t="n">
        <f aca="false">dummy_variables!H321</f>
        <v>0</v>
      </c>
      <c r="L323" s="1" t="n">
        <f aca="false">dummy_variables!I321</f>
        <v>0</v>
      </c>
      <c r="M323" s="1" t="n">
        <f aca="false">dummy_variables!J321</f>
        <v>0</v>
      </c>
    </row>
    <row r="324" customFormat="false" ht="15" hidden="false" customHeight="true" outlineLevel="0" collapsed="false">
      <c r="A324" s="1" t="n">
        <v>318</v>
      </c>
      <c r="B324" s="1" t="n">
        <f aca="false">cleaned_data!F319</f>
        <v>3466</v>
      </c>
      <c r="C324" s="1" t="n">
        <f aca="false">cleaned_data!E319</f>
        <v>24088.06</v>
      </c>
      <c r="D324" s="1" t="n">
        <f aca="false">cleaned_data!H319</f>
        <v>11</v>
      </c>
      <c r="E324" s="1" t="n">
        <f aca="false">cleaned_data!I319</f>
        <v>88</v>
      </c>
      <c r="F324" s="1" t="n">
        <f aca="false">cleaned_data!G319</f>
        <v>0</v>
      </c>
      <c r="G324" s="1" t="n">
        <f aca="false">cleaned_data!K319</f>
        <v>0</v>
      </c>
      <c r="H324" s="1" t="n">
        <f aca="false">dummy_variables!E322</f>
        <v>0</v>
      </c>
      <c r="I324" s="1" t="n">
        <f aca="false">dummy_variables!F322</f>
        <v>1</v>
      </c>
      <c r="J324" s="1" t="n">
        <f aca="false">dummy_variables!G322</f>
        <v>0</v>
      </c>
      <c r="K324" s="1" t="n">
        <f aca="false">dummy_variables!H322</f>
        <v>0</v>
      </c>
      <c r="L324" s="1" t="n">
        <f aca="false">dummy_variables!I322</f>
        <v>0</v>
      </c>
      <c r="M324" s="1" t="n">
        <f aca="false">dummy_variables!J322</f>
        <v>0</v>
      </c>
    </row>
    <row r="325" customFormat="false" ht="15" hidden="false" customHeight="true" outlineLevel="0" collapsed="false">
      <c r="A325" s="1" t="n">
        <v>319</v>
      </c>
      <c r="B325" s="1" t="n">
        <f aca="false">cleaned_data!F320</f>
        <v>7775</v>
      </c>
      <c r="C325" s="1" t="n">
        <f aca="false">cleaned_data!E320</f>
        <v>81902.58</v>
      </c>
      <c r="D325" s="1" t="n">
        <f aca="false">cleaned_data!H320</f>
        <v>20</v>
      </c>
      <c r="E325" s="1" t="n">
        <f aca="false">cleaned_data!I320</f>
        <v>85.2</v>
      </c>
      <c r="F325" s="1" t="n">
        <f aca="false">cleaned_data!G320</f>
        <v>0.215</v>
      </c>
      <c r="G325" s="1" t="n">
        <f aca="false">cleaned_data!K320</f>
        <v>1</v>
      </c>
      <c r="H325" s="1" t="n">
        <f aca="false">dummy_variables!E323</f>
        <v>0</v>
      </c>
      <c r="I325" s="1" t="n">
        <f aca="false">dummy_variables!F323</f>
        <v>1</v>
      </c>
      <c r="J325" s="1" t="n">
        <f aca="false">dummy_variables!G323</f>
        <v>0</v>
      </c>
      <c r="K325" s="1" t="n">
        <f aca="false">dummy_variables!H323</f>
        <v>0</v>
      </c>
      <c r="L325" s="1" t="n">
        <f aca="false">dummy_variables!I323</f>
        <v>0</v>
      </c>
      <c r="M325" s="1" t="n">
        <f aca="false">dummy_variables!J323</f>
        <v>0</v>
      </c>
    </row>
    <row r="326" customFormat="false" ht="15" hidden="false" customHeight="true" outlineLevel="0" collapsed="false">
      <c r="A326" s="1" t="n">
        <v>320</v>
      </c>
      <c r="B326" s="1" t="n">
        <f aca="false">cleaned_data!F321</f>
        <v>5317</v>
      </c>
      <c r="C326" s="1" t="n">
        <f aca="false">cleaned_data!E321</f>
        <v>40553.11</v>
      </c>
      <c r="D326" s="1" t="n">
        <f aca="false">cleaned_data!H321</f>
        <v>17</v>
      </c>
      <c r="E326" s="1" t="n">
        <f aca="false">cleaned_data!I321</f>
        <v>84.3</v>
      </c>
      <c r="F326" s="1" t="n">
        <f aca="false">cleaned_data!G321</f>
        <v>0.165</v>
      </c>
      <c r="G326" s="1" t="n">
        <f aca="false">cleaned_data!K321</f>
        <v>0</v>
      </c>
      <c r="H326" s="1" t="n">
        <f aca="false">dummy_variables!E324</f>
        <v>0</v>
      </c>
      <c r="I326" s="1" t="n">
        <f aca="false">dummy_variables!F324</f>
        <v>1</v>
      </c>
      <c r="J326" s="1" t="n">
        <f aca="false">dummy_variables!G324</f>
        <v>0</v>
      </c>
      <c r="K326" s="1" t="n">
        <f aca="false">dummy_variables!H324</f>
        <v>0</v>
      </c>
      <c r="L326" s="1" t="n">
        <f aca="false">dummy_variables!I324</f>
        <v>0</v>
      </c>
      <c r="M326" s="1" t="n">
        <f aca="false">dummy_variables!J324</f>
        <v>0</v>
      </c>
    </row>
    <row r="329" customFormat="false" ht="15" hidden="false" customHeight="true" outlineLevel="0" collapsed="false">
      <c r="A329" s="7" t="s">
        <v>134</v>
      </c>
    </row>
    <row r="330" customFormat="false" ht="15" hidden="false" customHeight="true" outlineLevel="0" collapsed="false">
      <c r="A330" s="6" t="s">
        <v>135</v>
      </c>
      <c r="B330" s="6" t="s">
        <v>136</v>
      </c>
      <c r="C330" s="6" t="s">
        <v>137</v>
      </c>
      <c r="D330" s="6" t="s">
        <v>138</v>
      </c>
      <c r="E330" s="6" t="s">
        <v>139</v>
      </c>
      <c r="F330" s="6" t="s">
        <v>140</v>
      </c>
      <c r="G330" s="6" t="s">
        <v>141</v>
      </c>
    </row>
    <row r="331" customFormat="false" ht="15" hidden="false" customHeight="true" outlineLevel="0" collapsed="false">
      <c r="A331" s="15" t="s">
        <v>5</v>
      </c>
      <c r="B331" s="16" t="n">
        <f aca="false">INDEX(LINEST(cleaned_data!M2:M321,B7:M326,TRUE(),TRUE()),1,12)</f>
        <v>27.9911935741545</v>
      </c>
      <c r="C331" s="16" t="n">
        <f aca="false">INDEX(LINEST(cleaned_data!M2:M321,B7:M326,TRUE(),TRUE()),2,12)</f>
        <v>2.47655814632215</v>
      </c>
      <c r="D331" s="16" t="n">
        <f aca="false">B331/C331</f>
        <v>11.3024576530631</v>
      </c>
      <c r="E331" s="17" t="n">
        <f aca="false">_xlfn.T.DIST.2T(ABS(D331),307)</f>
        <v>5.33694871659368E-025</v>
      </c>
      <c r="F331" s="18" t="n">
        <f aca="false">B331-_xlfn.T.INV.2T(0.05,307)*C331</f>
        <v>23.1180173882815</v>
      </c>
      <c r="G331" s="18" t="n">
        <f aca="false">B331+_xlfn.T.INV.2T(0.05,307)*C331</f>
        <v>32.8643697600274</v>
      </c>
    </row>
    <row r="332" customFormat="false" ht="15" hidden="false" customHeight="true" outlineLevel="0" collapsed="false">
      <c r="A332" s="19" t="s">
        <v>4</v>
      </c>
      <c r="B332" s="20" t="n">
        <f aca="false">INDEX(LINEST(cleaned_data!M2:M321,B7:M326,TRUE(),TRUE()),1,11)</f>
        <v>1.15458035973741</v>
      </c>
      <c r="C332" s="20" t="n">
        <f aca="false">INDEX(LINEST(cleaned_data!M2:M321,B7:M326,TRUE(),TRUE()),2,11)</f>
        <v>0.125324407403944</v>
      </c>
      <c r="D332" s="20" t="n">
        <f aca="false">B332/C332</f>
        <v>9.21273344637478</v>
      </c>
      <c r="E332" s="21" t="n">
        <f aca="false">_xlfn.T.DIST.2T(ABS(D332),307)</f>
        <v>5.16346198054051E-018</v>
      </c>
      <c r="F332" s="22" t="n">
        <f aca="false">B332-_xlfn.T.INV.2T(0.05,307)*C332</f>
        <v>0.907976855363199</v>
      </c>
      <c r="G332" s="22" t="n">
        <f aca="false">B332+_xlfn.T.INV.2T(0.05,307)*C332</f>
        <v>1.40118386411162</v>
      </c>
    </row>
    <row r="333" customFormat="false" ht="15" hidden="false" customHeight="true" outlineLevel="0" collapsed="false">
      <c r="A333" s="15" t="s">
        <v>7</v>
      </c>
      <c r="B333" s="16" t="n">
        <f aca="false">INDEX(LINEST(cleaned_data!M2:M321,B7:M326,TRUE(),TRUE()),1,10)</f>
        <v>3026.30202432319</v>
      </c>
      <c r="C333" s="16" t="n">
        <f aca="false">INDEX(LINEST(cleaned_data!M2:M321,B7:M326,TRUE(),TRUE()),2,10)</f>
        <v>1246.05710812442</v>
      </c>
      <c r="D333" s="16" t="n">
        <f aca="false">B333/C333</f>
        <v>2.42870250856995</v>
      </c>
      <c r="E333" s="17" t="n">
        <f aca="false">_xlfn.T.DIST.2T(ABS(D333),307)</f>
        <v>0.0157269229848902</v>
      </c>
      <c r="F333" s="18" t="n">
        <f aca="false">B333-_xlfn.T.INV.2T(0.05,307)*C333</f>
        <v>574.408926409305</v>
      </c>
      <c r="G333" s="18" t="n">
        <f aca="false">B333+_xlfn.T.INV.2T(0.05,307)*C333</f>
        <v>5478.19512223707</v>
      </c>
    </row>
    <row r="334" customFormat="false" ht="15" hidden="false" customHeight="true" outlineLevel="0" collapsed="false">
      <c r="A334" s="19" t="s">
        <v>8</v>
      </c>
      <c r="B334" s="20" t="n">
        <f aca="false">INDEX(LINEST(cleaned_data!M2:M321,B7:M326,TRUE(),TRUE()),1,9)</f>
        <v>3032.59746109529</v>
      </c>
      <c r="C334" s="20" t="n">
        <f aca="false">INDEX(LINEST(cleaned_data!M2:M321,B7:M326,TRUE(),TRUE()),2,9)</f>
        <v>456.954810436447</v>
      </c>
      <c r="D334" s="20" t="n">
        <f aca="false">B334/C334</f>
        <v>6.63653690000286</v>
      </c>
      <c r="E334" s="21" t="n">
        <f aca="false">_xlfn.T.DIST.2T(ABS(D334),307)</f>
        <v>1.45301243126627E-010</v>
      </c>
      <c r="F334" s="22" t="n">
        <f aca="false">B334-_xlfn.T.INV.2T(0.05,307)*C334</f>
        <v>2133.43775287444</v>
      </c>
      <c r="G334" s="22" t="n">
        <f aca="false">B334+_xlfn.T.INV.2T(0.05,307)*C334</f>
        <v>3931.75716931614</v>
      </c>
    </row>
    <row r="335" customFormat="false" ht="15" hidden="false" customHeight="true" outlineLevel="0" collapsed="false">
      <c r="A335" s="15" t="s">
        <v>6</v>
      </c>
      <c r="B335" s="16" t="n">
        <f aca="false">INDEX(LINEST(cleaned_data!M2:M321,B7:M326,TRUE(),TRUE()),1,8)</f>
        <v>-49804.1155442598</v>
      </c>
      <c r="C335" s="16" t="n">
        <f aca="false">INDEX(LINEST(cleaned_data!M2:M321,B7:M326,TRUE(),TRUE()),2,8)</f>
        <v>36358.0804205042</v>
      </c>
      <c r="D335" s="16" t="n">
        <f aca="false">B335/C335</f>
        <v>-1.36982247050019</v>
      </c>
      <c r="E335" s="17" t="n">
        <f aca="false">_xlfn.T.DIST.2T(ABS(D335),307)</f>
        <v>0.171743353747539</v>
      </c>
      <c r="F335" s="18" t="n">
        <f aca="false">B335-_xlfn.T.INV.2T(0.05,307)*C335</f>
        <v>-121346.684384155</v>
      </c>
      <c r="G335" s="18" t="n">
        <f aca="false">B335+_xlfn.T.INV.2T(0.05,307)*C335</f>
        <v>21738.4532956357</v>
      </c>
    </row>
    <row r="336" customFormat="false" ht="15" hidden="false" customHeight="true" outlineLevel="0" collapsed="false">
      <c r="A336" s="19" t="s">
        <v>10</v>
      </c>
      <c r="B336" s="20" t="n">
        <f aca="false">INDEX(LINEST(cleaned_data!M2:M321,B7:M326,TRUE(),TRUE()),1,7)</f>
        <v>16166.6258289471</v>
      </c>
      <c r="C336" s="20" t="n">
        <f aca="false">INDEX(LINEST(cleaned_data!M2:M321,B7:M326,TRUE(),TRUE()),2,7)</f>
        <v>6565.43166096049</v>
      </c>
      <c r="D336" s="20" t="n">
        <f aca="false">B336/C336</f>
        <v>2.46238582073399</v>
      </c>
      <c r="E336" s="21" t="n">
        <f aca="false">_xlfn.T.DIST.2T(ABS(D336),307)</f>
        <v>0.0143506342391369</v>
      </c>
      <c r="F336" s="22" t="n">
        <f aca="false">B336-_xlfn.T.INV.2T(0.05,307)*C336</f>
        <v>3247.68618374512</v>
      </c>
      <c r="G336" s="22" t="n">
        <f aca="false">B336+_xlfn.T.INV.2T(0.05,307)*C336</f>
        <v>29085.5654741491</v>
      </c>
    </row>
    <row r="337" customFormat="false" ht="15" hidden="false" customHeight="true" outlineLevel="0" collapsed="false">
      <c r="A337" s="15" t="s">
        <v>104</v>
      </c>
      <c r="B337" s="16" t="n">
        <f aca="false">INDEX(LINEST(cleaned_data!M2:M321,B7:M326,TRUE(),TRUE()),1,6)</f>
        <v>11856.4830120125</v>
      </c>
      <c r="C337" s="16" t="n">
        <f aca="false">INDEX(LINEST(cleaned_data!M2:M321,B7:M326,TRUE(),TRUE()),2,6)</f>
        <v>6454.48242219347</v>
      </c>
      <c r="D337" s="16" t="n">
        <f aca="false">B337/C337</f>
        <v>1.83693784202502</v>
      </c>
      <c r="E337" s="17" t="n">
        <f aca="false">_xlfn.T.DIST.2T(ABS(D337),307)</f>
        <v>0.0671856277244223</v>
      </c>
      <c r="F337" s="18" t="n">
        <f aca="false">B337-_xlfn.T.INV.2T(0.05,307)*C337</f>
        <v>-844.139454163003</v>
      </c>
      <c r="G337" s="18" t="n">
        <f aca="false">B337+_xlfn.T.INV.2T(0.05,307)*C337</f>
        <v>24557.105478188</v>
      </c>
    </row>
    <row r="338" customFormat="false" ht="15" hidden="false" customHeight="true" outlineLevel="0" collapsed="false">
      <c r="A338" s="19" t="s">
        <v>105</v>
      </c>
      <c r="B338" s="20" t="n">
        <f aca="false">INDEX(LINEST(cleaned_data!M2:M321,B7:M326,TRUE(),TRUE()),1,5)</f>
        <v>-17888.2243801944</v>
      </c>
      <c r="C338" s="20" t="n">
        <f aca="false">INDEX(LINEST(cleaned_data!M2:M321,B7:M326,TRUE(),TRUE()),2,5)</f>
        <v>5954.37980217829</v>
      </c>
      <c r="D338" s="20" t="n">
        <f aca="false">B338/C338</f>
        <v>-3.00421286086762</v>
      </c>
      <c r="E338" s="21" t="n">
        <f aca="false">_xlfn.T.DIST.2T(ABS(D338),307)</f>
        <v>0.00288195637875027</v>
      </c>
      <c r="F338" s="22" t="n">
        <f aca="false">B338-_xlfn.T.INV.2T(0.05,307)*C338</f>
        <v>-29604.7842747037</v>
      </c>
      <c r="G338" s="22" t="n">
        <f aca="false">B338+_xlfn.T.INV.2T(0.05,307)*C338</f>
        <v>-6171.66448568509</v>
      </c>
    </row>
    <row r="339" customFormat="false" ht="15" hidden="false" customHeight="true" outlineLevel="0" collapsed="false">
      <c r="A339" s="15" t="s">
        <v>106</v>
      </c>
      <c r="B339" s="16" t="n">
        <f aca="false">INDEX(LINEST(cleaned_data!M2:M321,B7:M326,TRUE(),TRUE()),1,4)</f>
        <v>21131.2366134102</v>
      </c>
      <c r="C339" s="16" t="n">
        <f aca="false">INDEX(LINEST(cleaned_data!M2:M321,B7:M326,TRUE(),TRUE()),2,4)</f>
        <v>9237.75775113992</v>
      </c>
      <c r="D339" s="16" t="n">
        <f aca="false">B339/C339</f>
        <v>2.2874854680837</v>
      </c>
      <c r="E339" s="17" t="n">
        <f aca="false">_xlfn.T.DIST.2T(ABS(D339),307)</f>
        <v>0.0228474596343555</v>
      </c>
      <c r="F339" s="18" t="n">
        <f aca="false">B339-_xlfn.T.INV.2T(0.05,307)*C339</f>
        <v>2953.90403166876</v>
      </c>
      <c r="G339" s="18" t="n">
        <f aca="false">B339+_xlfn.T.INV.2T(0.05,307)*C339</f>
        <v>39308.5691951516</v>
      </c>
    </row>
    <row r="340" customFormat="false" ht="15" hidden="false" customHeight="true" outlineLevel="0" collapsed="false">
      <c r="A340" s="19" t="s">
        <v>107</v>
      </c>
      <c r="B340" s="20" t="n">
        <f aca="false">INDEX(LINEST(cleaned_data!M2:M321,B7:M326,TRUE(),TRUE()),1,3)</f>
        <v>7710.78086462884</v>
      </c>
      <c r="C340" s="20" t="n">
        <f aca="false">INDEX(LINEST(cleaned_data!M2:M321,B7:M326,TRUE(),TRUE()),2,3)</f>
        <v>6968.31025353977</v>
      </c>
      <c r="D340" s="20" t="n">
        <f aca="false">B340/C340</f>
        <v>1.10654959151853</v>
      </c>
      <c r="E340" s="21" t="n">
        <f aca="false">_xlfn.T.DIST.2T(ABS(D340),307)</f>
        <v>0.269355025240291</v>
      </c>
      <c r="F340" s="22" t="n">
        <f aca="false">B340-_xlfn.T.INV.2T(0.05,307)*C340</f>
        <v>-6000.91156373354</v>
      </c>
      <c r="G340" s="22" t="n">
        <f aca="false">B340+_xlfn.T.INV.2T(0.05,307)*C340</f>
        <v>21422.4732929912</v>
      </c>
    </row>
    <row r="341" customFormat="false" ht="15" hidden="false" customHeight="true" outlineLevel="0" collapsed="false">
      <c r="A341" s="15" t="s">
        <v>108</v>
      </c>
      <c r="B341" s="16" t="n">
        <f aca="false">INDEX(LINEST(cleaned_data!M2:M321,B7:M326,TRUE(),TRUE()),1,2)</f>
        <v>19692.486768773</v>
      </c>
      <c r="C341" s="16" t="n">
        <f aca="false">INDEX(LINEST(cleaned_data!M2:M321,B7:M326,TRUE(),TRUE()),2,2)</f>
        <v>7119.97533340453</v>
      </c>
      <c r="D341" s="16" t="n">
        <f aca="false">B341/C341</f>
        <v>2.76580828537179</v>
      </c>
      <c r="E341" s="17" t="n">
        <f aca="false">_xlfn.T.DIST.2T(ABS(D341),307)</f>
        <v>0.00602211594699934</v>
      </c>
      <c r="F341" s="18" t="n">
        <f aca="false">B341-_xlfn.T.INV.2T(0.05,307)*C341</f>
        <v>5682.35973409094</v>
      </c>
      <c r="G341" s="18" t="n">
        <f aca="false">B341+_xlfn.T.INV.2T(0.05,307)*C341</f>
        <v>33702.6138034551</v>
      </c>
    </row>
    <row r="342" customFormat="false" ht="15" hidden="false" customHeight="true" outlineLevel="0" collapsed="false">
      <c r="A342" s="19" t="s">
        <v>109</v>
      </c>
      <c r="B342" s="20" t="n">
        <f aca="false">INDEX(LINEST(cleaned_data!M2:M321,B7:M326,TRUE(),TRUE()),1,1)</f>
        <v>19831.8298738358</v>
      </c>
      <c r="C342" s="20" t="n">
        <f aca="false">INDEX(LINEST(cleaned_data!M2:M321,B7:M326,TRUE(),TRUE()),2,1)</f>
        <v>6253.49196643548</v>
      </c>
      <c r="D342" s="20" t="n">
        <f aca="false">B342/C342</f>
        <v>3.17132091642232</v>
      </c>
      <c r="E342" s="21" t="n">
        <f aca="false">_xlfn.T.DIST.2T(ABS(D342),307)</f>
        <v>0.00167085875728649</v>
      </c>
      <c r="F342" s="22" t="n">
        <f aca="false">B342-_xlfn.T.INV.2T(0.05,307)*C342</f>
        <v>7526.70060617135</v>
      </c>
      <c r="G342" s="22" t="n">
        <f aca="false">B342+_xlfn.T.INV.2T(0.05,307)*C342</f>
        <v>32136.9591415002</v>
      </c>
    </row>
    <row r="343" customFormat="false" ht="15" hidden="false" customHeight="true" outlineLevel="0" collapsed="false">
      <c r="A343" s="23" t="s">
        <v>117</v>
      </c>
      <c r="B343" s="18" t="n">
        <f aca="false">INDEX(LINEST(cleaned_data!M2:M321,B7:M326,TRUE(),TRUE()),1,13)</f>
        <v>107624.91277192</v>
      </c>
      <c r="C343" s="18" t="n">
        <f aca="false">INDEX(LINEST(cleaned_data!M2:M321,B7:M326,TRUE(),TRUE()),2,13)</f>
        <v>42939.4501875965</v>
      </c>
      <c r="D343" s="16" t="n">
        <f aca="false">B343/C343</f>
        <v>2.50643434654431</v>
      </c>
      <c r="E343" s="17" t="n">
        <f aca="false">_xlfn.T.DIST.2T(ABS(D343),307)</f>
        <v>0.0127124197464242</v>
      </c>
      <c r="F343" s="15"/>
      <c r="G343" s="15"/>
    </row>
    <row r="345" customFormat="false" ht="15" hidden="false" customHeight="true" outlineLevel="0" collapsed="false">
      <c r="A345" s="7" t="s">
        <v>142</v>
      </c>
    </row>
    <row r="346" customFormat="false" ht="15" hidden="false" customHeight="true" outlineLevel="0" collapsed="false">
      <c r="A346" s="9" t="s">
        <v>119</v>
      </c>
      <c r="B346" s="10" t="n">
        <f aca="false">INDEX(LINEST(cleaned_data!M2:M321,B7:M326,TRUE(),TRUE()),3,1)</f>
        <v>0.833748265551681</v>
      </c>
    </row>
    <row r="347" customFormat="false" ht="15" hidden="false" customHeight="true" outlineLevel="0" collapsed="false">
      <c r="A347" s="9" t="s">
        <v>143</v>
      </c>
      <c r="B347" s="10" t="n">
        <f aca="false">1-(1-B346)*(320-1)/(320-12-1)</f>
        <v>0.827249826420151</v>
      </c>
    </row>
    <row r="348" customFormat="false" ht="15" hidden="false" customHeight="true" outlineLevel="0" collapsed="false">
      <c r="A348" s="9" t="s">
        <v>144</v>
      </c>
      <c r="B348" s="11" t="n">
        <f aca="false">INDEX(LINEST(cleaned_data!M2:M321,B7:M326,TRUE(),TRUE()),3,2)</f>
        <v>43130.8417905698</v>
      </c>
    </row>
    <row r="349" customFormat="false" ht="15" hidden="false" customHeight="true" outlineLevel="0" collapsed="false">
      <c r="A349" s="9" t="s">
        <v>145</v>
      </c>
      <c r="B349" s="11" t="n">
        <f aca="false">INDEX(LINEST(cleaned_data!M2:M321,B7:M326,TRUE(),TRUE()),4,1)</f>
        <v>128.299773018776</v>
      </c>
    </row>
    <row r="350" customFormat="false" ht="15" hidden="false" customHeight="true" outlineLevel="0" collapsed="false">
      <c r="A350" s="9" t="s">
        <v>146</v>
      </c>
      <c r="B350" s="1" t="n">
        <f aca="false">INDEX(LINEST(cleaned_data!M2:M321,B7:M326,TRUE(),TRUE()),4,2)</f>
        <v>307</v>
      </c>
    </row>
    <row r="351" customFormat="false" ht="15" hidden="false" customHeight="true" outlineLevel="0" collapsed="false">
      <c r="A351" s="9" t="s">
        <v>121</v>
      </c>
      <c r="B351" s="1" t="n">
        <f aca="false">COUNT(B7:B326)</f>
        <v>320</v>
      </c>
    </row>
  </sheetData>
  <mergeCells count="1"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4" min="3" style="1" width="13"/>
    <col collapsed="false" customWidth="true" hidden="false" outlineLevel="0" max="6" min="5" style="1" width="16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4" t="s">
        <v>147</v>
      </c>
    </row>
    <row r="3" customFormat="false" ht="27.75" hidden="false" customHeight="true" outlineLevel="0" collapsed="false">
      <c r="A3" s="6" t="s">
        <v>0</v>
      </c>
      <c r="B3" s="6" t="s">
        <v>1</v>
      </c>
      <c r="C3" s="6" t="s">
        <v>3</v>
      </c>
      <c r="D3" s="6" t="s">
        <v>2</v>
      </c>
      <c r="E3" s="6" t="s">
        <v>148</v>
      </c>
      <c r="F3" s="6" t="s">
        <v>149</v>
      </c>
      <c r="G3" s="6" t="s">
        <v>150</v>
      </c>
    </row>
    <row r="4" customFormat="false" ht="15" hidden="false" customHeight="true" outlineLevel="0" collapsed="false">
      <c r="A4" s="1" t="str">
        <f aca="false">cleaned_data!A2</f>
        <v>STR-1001</v>
      </c>
      <c r="B4" s="3" t="n">
        <f aca="false">cleaned_data!B2</f>
        <v>45658</v>
      </c>
      <c r="C4" s="1" t="str">
        <f aca="false">cleaned_data!D2</f>
        <v>Residential</v>
      </c>
      <c r="D4" s="1" t="str">
        <f aca="false">cleaned_data!C2</f>
        <v>East</v>
      </c>
      <c r="E4" s="24" t="n">
        <f aca="false">cleaned_data!M2</f>
        <v>658832.62</v>
      </c>
      <c r="F4" s="24" t="n">
        <f aca="false">multiple_regression!B343+multiple_regression!B331*cleaned_data!F2+multiple_regression!B332*cleaned_data!E2+multiple_regression!B333*cleaned_data!H2+multiple_regression!B334*cleaned_data!I2+multiple_regression!B335*cleaned_data!G2+multiple_regression!B336*cleaned_data!K2+multiple_regression!B337*dummy_variables!E5+multiple_regression!B338*dummy_variables!F5+multiple_regression!B339*dummy_variables!G5+multiple_regression!B340*dummy_variables!H5+multiple_regression!B341*dummy_variables!I5+multiple_regression!B342*dummy_variables!J5</f>
        <v>696356.258361482</v>
      </c>
      <c r="G4" s="24" t="n">
        <f aca="false">E4-F4</f>
        <v>-37523.6383614818</v>
      </c>
    </row>
    <row r="5" customFormat="false" ht="15" hidden="false" customHeight="true" outlineLevel="0" collapsed="false">
      <c r="A5" s="1" t="str">
        <f aca="false">cleaned_data!A3</f>
        <v>STR-1001</v>
      </c>
      <c r="B5" s="3" t="n">
        <f aca="false">cleaned_data!B3</f>
        <v>45689</v>
      </c>
      <c r="C5" s="1" t="str">
        <f aca="false">cleaned_data!D3</f>
        <v>Residential</v>
      </c>
      <c r="D5" s="1" t="str">
        <f aca="false">cleaned_data!C3</f>
        <v>East</v>
      </c>
      <c r="E5" s="24" t="n">
        <f aca="false">cleaned_data!M3</f>
        <v>634436</v>
      </c>
      <c r="F5" s="24" t="n">
        <f aca="false">multiple_regression!B343+multiple_regression!B331*cleaned_data!F3+multiple_regression!B332*cleaned_data!E3+multiple_regression!B333*cleaned_data!H3+multiple_regression!B334*cleaned_data!I3+multiple_regression!B335*cleaned_data!G3+multiple_regression!B336*cleaned_data!K3+multiple_regression!B337*dummy_variables!E6+multiple_regression!B338*dummy_variables!F6+multiple_regression!B339*dummy_variables!G6+multiple_regression!B340*dummy_variables!H6+multiple_regression!B341*dummy_variables!I6+multiple_regression!B342*dummy_variables!J6</f>
        <v>695089.850122747</v>
      </c>
      <c r="G5" s="24" t="n">
        <f aca="false">E5-F5</f>
        <v>-60653.8501227469</v>
      </c>
    </row>
    <row r="6" customFormat="false" ht="15" hidden="false" customHeight="true" outlineLevel="0" collapsed="false">
      <c r="A6" s="1" t="str">
        <f aca="false">cleaned_data!A4</f>
        <v>STR-1001</v>
      </c>
      <c r="B6" s="3" t="n">
        <f aca="false">cleaned_data!B4</f>
        <v>45717</v>
      </c>
      <c r="C6" s="1" t="str">
        <f aca="false">cleaned_data!D4</f>
        <v>Residential</v>
      </c>
      <c r="D6" s="1" t="str">
        <f aca="false">cleaned_data!C4</f>
        <v>East</v>
      </c>
      <c r="E6" s="24" t="n">
        <f aca="false">cleaned_data!M4</f>
        <v>678722.06</v>
      </c>
      <c r="F6" s="24" t="n">
        <f aca="false">multiple_regression!B343+multiple_regression!B331*cleaned_data!F4+multiple_regression!B332*cleaned_data!E4+multiple_regression!B333*cleaned_data!H4+multiple_regression!B334*cleaned_data!I4+multiple_regression!B335*cleaned_data!G4+multiple_regression!B336*cleaned_data!K4+multiple_regression!B337*dummy_variables!E7+multiple_regression!B338*dummy_variables!F7+multiple_regression!B339*dummy_variables!G7+multiple_regression!B340*dummy_variables!H7+multiple_regression!B341*dummy_variables!I7+multiple_regression!B342*dummy_variables!J7</f>
        <v>734775.580799554</v>
      </c>
      <c r="G6" s="24" t="n">
        <f aca="false">E6-F6</f>
        <v>-56053.5207995536</v>
      </c>
    </row>
    <row r="7" customFormat="false" ht="15" hidden="false" customHeight="true" outlineLevel="0" collapsed="false">
      <c r="A7" s="1" t="str">
        <f aca="false">cleaned_data!A5</f>
        <v>STR-1001</v>
      </c>
      <c r="B7" s="3" t="n">
        <f aca="false">cleaned_data!B5</f>
        <v>45748</v>
      </c>
      <c r="C7" s="1" t="str">
        <f aca="false">cleaned_data!D5</f>
        <v>Residential</v>
      </c>
      <c r="D7" s="1" t="str">
        <f aca="false">cleaned_data!C5</f>
        <v>East</v>
      </c>
      <c r="E7" s="24" t="n">
        <f aca="false">cleaned_data!M5</f>
        <v>658920.3</v>
      </c>
      <c r="F7" s="24" t="n">
        <f aca="false">multiple_regression!B343+multiple_regression!B331*cleaned_data!F5+multiple_regression!B332*cleaned_data!E5+multiple_regression!B333*cleaned_data!H5+multiple_regression!B334*cleaned_data!I5+multiple_regression!B335*cleaned_data!G5+multiple_regression!B336*cleaned_data!K5+multiple_regression!B337*dummy_variables!E8+multiple_regression!B338*dummy_variables!F8+multiple_regression!B339*dummy_variables!G8+multiple_regression!B340*dummy_variables!H8+multiple_regression!B341*dummy_variables!I8+multiple_regression!B342*dummy_variables!J8</f>
        <v>745432.664829763</v>
      </c>
      <c r="G7" s="24" t="n">
        <f aca="false">E7-F7</f>
        <v>-86512.3648297628</v>
      </c>
    </row>
    <row r="8" customFormat="false" ht="15" hidden="false" customHeight="true" outlineLevel="0" collapsed="false">
      <c r="A8" s="1" t="str">
        <f aca="false">cleaned_data!A6</f>
        <v>STR-1002</v>
      </c>
      <c r="B8" s="3" t="n">
        <f aca="false">cleaned_data!B6</f>
        <v>45658</v>
      </c>
      <c r="C8" s="1" t="str">
        <f aca="false">cleaned_data!D6</f>
        <v>High Street</v>
      </c>
      <c r="D8" s="1" t="str">
        <f aca="false">cleaned_data!C6</f>
        <v>East</v>
      </c>
      <c r="E8" s="24" t="n">
        <f aca="false">cleaned_data!M6</f>
        <v>741341.44</v>
      </c>
      <c r="F8" s="24" t="n">
        <f aca="false">multiple_regression!B343+multiple_regression!B331*cleaned_data!F6+multiple_regression!B332*cleaned_data!E6+multiple_regression!B333*cleaned_data!H6+multiple_regression!B334*cleaned_data!I6+multiple_regression!B335*cleaned_data!G6+multiple_regression!B336*cleaned_data!K6+multiple_regression!B337*dummy_variables!E9+multiple_regression!B338*dummy_variables!F9+multiple_regression!B339*dummy_variables!G9+multiple_regression!B340*dummy_variables!H9+multiple_regression!B341*dummy_variables!I9+multiple_regression!B342*dummy_variables!J9</f>
        <v>794892.868596173</v>
      </c>
      <c r="G8" s="24" t="n">
        <f aca="false">E8-F8</f>
        <v>-53551.4285961731</v>
      </c>
    </row>
    <row r="9" customFormat="false" ht="15" hidden="false" customHeight="true" outlineLevel="0" collapsed="false">
      <c r="A9" s="1" t="str">
        <f aca="false">cleaned_data!A7</f>
        <v>STR-1002</v>
      </c>
      <c r="B9" s="3" t="n">
        <f aca="false">cleaned_data!B7</f>
        <v>45689</v>
      </c>
      <c r="C9" s="1" t="str">
        <f aca="false">cleaned_data!D7</f>
        <v>High Street</v>
      </c>
      <c r="D9" s="1" t="str">
        <f aca="false">cleaned_data!C7</f>
        <v>East</v>
      </c>
      <c r="E9" s="24" t="n">
        <f aca="false">cleaned_data!M7</f>
        <v>761835.34</v>
      </c>
      <c r="F9" s="24" t="n">
        <f aca="false">multiple_regression!B343+multiple_regression!B331*cleaned_data!F7+multiple_regression!B332*cleaned_data!E7+multiple_regression!B333*cleaned_data!H7+multiple_regression!B334*cleaned_data!I7+multiple_regression!B335*cleaned_data!G7+multiple_regression!B336*cleaned_data!K7+multiple_regression!B337*dummy_variables!E10+multiple_regression!B338*dummy_variables!F10+multiple_regression!B339*dummy_variables!G10+multiple_regression!B340*dummy_variables!H10+multiple_regression!B341*dummy_variables!I10+multiple_regression!B342*dummy_variables!J10</f>
        <v>766837.116176588</v>
      </c>
      <c r="G9" s="24" t="n">
        <f aca="false">E9-F9</f>
        <v>-5001.77617658791</v>
      </c>
    </row>
    <row r="10" customFormat="false" ht="15" hidden="false" customHeight="true" outlineLevel="0" collapsed="false">
      <c r="A10" s="1" t="str">
        <f aca="false">cleaned_data!A8</f>
        <v>STR-1002</v>
      </c>
      <c r="B10" s="3" t="n">
        <f aca="false">cleaned_data!B8</f>
        <v>45717</v>
      </c>
      <c r="C10" s="1" t="str">
        <f aca="false">cleaned_data!D8</f>
        <v>High Street</v>
      </c>
      <c r="D10" s="1" t="str">
        <f aca="false">cleaned_data!C8</f>
        <v>East</v>
      </c>
      <c r="E10" s="24" t="n">
        <f aca="false">cleaned_data!M8</f>
        <v>806615.54</v>
      </c>
      <c r="F10" s="24" t="n">
        <f aca="false">multiple_regression!B343+multiple_regression!B331*cleaned_data!F8+multiple_regression!B332*cleaned_data!E8+multiple_regression!B333*cleaned_data!H8+multiple_regression!B334*cleaned_data!I8+multiple_regression!B335*cleaned_data!G8+multiple_regression!B336*cleaned_data!K8+multiple_regression!B337*dummy_variables!E11+multiple_regression!B338*dummy_variables!F11+multiple_regression!B339*dummy_variables!G11+multiple_regression!B340*dummy_variables!H11+multiple_regression!B341*dummy_variables!I11+multiple_regression!B342*dummy_variables!J11</f>
        <v>793183.037433827</v>
      </c>
      <c r="G10" s="24" t="n">
        <f aca="false">E10-F10</f>
        <v>13432.5025661726</v>
      </c>
    </row>
    <row r="11" customFormat="false" ht="15" hidden="false" customHeight="true" outlineLevel="0" collapsed="false">
      <c r="A11" s="1" t="str">
        <f aca="false">cleaned_data!A9</f>
        <v>STR-1002</v>
      </c>
      <c r="B11" s="3" t="n">
        <f aca="false">cleaned_data!B9</f>
        <v>45748</v>
      </c>
      <c r="C11" s="1" t="str">
        <f aca="false">cleaned_data!D9</f>
        <v>High Street</v>
      </c>
      <c r="D11" s="1" t="str">
        <f aca="false">cleaned_data!C9</f>
        <v>East</v>
      </c>
      <c r="E11" s="24" t="n">
        <f aca="false">cleaned_data!M9</f>
        <v>850164.26</v>
      </c>
      <c r="F11" s="24" t="n">
        <f aca="false">multiple_regression!B343+multiple_regression!B331*cleaned_data!F9+multiple_regression!B332*cleaned_data!E9+multiple_regression!B333*cleaned_data!H9+multiple_regression!B334*cleaned_data!I9+multiple_regression!B335*cleaned_data!G9+multiple_regression!B336*cleaned_data!K9+multiple_regression!B337*dummy_variables!E12+multiple_regression!B338*dummy_variables!F12+multiple_regression!B339*dummy_variables!G12+multiple_regression!B340*dummy_variables!H12+multiple_regression!B341*dummy_variables!I12+multiple_regression!B342*dummy_variables!J12</f>
        <v>779304.552024896</v>
      </c>
      <c r="G11" s="24" t="n">
        <f aca="false">E11-F11</f>
        <v>70859.7079751041</v>
      </c>
    </row>
    <row r="12" customFormat="false" ht="15" hidden="false" customHeight="true" outlineLevel="0" collapsed="false">
      <c r="A12" s="1" t="str">
        <f aca="false">cleaned_data!A10</f>
        <v>STR-1003</v>
      </c>
      <c r="B12" s="3" t="n">
        <f aca="false">cleaned_data!B10</f>
        <v>45658</v>
      </c>
      <c r="C12" s="1" t="str">
        <f aca="false">cleaned_data!D10</f>
        <v>Airport</v>
      </c>
      <c r="D12" s="1" t="str">
        <f aca="false">cleaned_data!C10</f>
        <v>North</v>
      </c>
      <c r="E12" s="24" t="n">
        <f aca="false">cleaned_data!M10</f>
        <v>930581.7</v>
      </c>
      <c r="F12" s="24" t="n">
        <f aca="false">multiple_regression!B343+multiple_regression!B331*cleaned_data!F10+multiple_regression!B332*cleaned_data!E10+multiple_regression!B333*cleaned_data!H10+multiple_regression!B334*cleaned_data!I10+multiple_regression!B335*cleaned_data!G10+multiple_regression!B336*cleaned_data!K10+multiple_regression!B337*dummy_variables!E13+multiple_regression!B338*dummy_variables!F13+multiple_regression!B339*dummy_variables!G13+multiple_regression!B340*dummy_variables!H13+multiple_regression!B341*dummy_variables!I13+multiple_regression!B342*dummy_variables!J13</f>
        <v>879556.709994904</v>
      </c>
      <c r="G12" s="24" t="n">
        <f aca="false">E12-F12</f>
        <v>51024.9900050963</v>
      </c>
    </row>
    <row r="13" customFormat="false" ht="15" hidden="false" customHeight="true" outlineLevel="0" collapsed="false">
      <c r="A13" s="1" t="str">
        <f aca="false">cleaned_data!A11</f>
        <v>STR-1003</v>
      </c>
      <c r="B13" s="3" t="n">
        <f aca="false">cleaned_data!B11</f>
        <v>45689</v>
      </c>
      <c r="C13" s="1" t="str">
        <f aca="false">cleaned_data!D11</f>
        <v>Airport</v>
      </c>
      <c r="D13" s="1" t="str">
        <f aca="false">cleaned_data!C11</f>
        <v>North</v>
      </c>
      <c r="E13" s="24" t="n">
        <f aca="false">cleaned_data!M11</f>
        <v>779010.94</v>
      </c>
      <c r="F13" s="24" t="n">
        <f aca="false">multiple_regression!B343+multiple_regression!B331*cleaned_data!F11+multiple_regression!B332*cleaned_data!E11+multiple_regression!B333*cleaned_data!H11+multiple_regression!B334*cleaned_data!I11+multiple_regression!B335*cleaned_data!G11+multiple_regression!B336*cleaned_data!K11+multiple_regression!B337*dummy_variables!E14+multiple_regression!B338*dummy_variables!F14+multiple_regression!B339*dummy_variables!G14+multiple_regression!B340*dummy_variables!H14+multiple_regression!B341*dummy_variables!I14+multiple_regression!B342*dummy_variables!J14</f>
        <v>790267.383217383</v>
      </c>
      <c r="G13" s="24" t="n">
        <f aca="false">E13-F13</f>
        <v>-11256.4432173833</v>
      </c>
    </row>
    <row r="14" customFormat="false" ht="15" hidden="false" customHeight="true" outlineLevel="0" collapsed="false">
      <c r="A14" s="1" t="str">
        <f aca="false">cleaned_data!A12</f>
        <v>STR-1003</v>
      </c>
      <c r="B14" s="3" t="n">
        <f aca="false">cleaned_data!B12</f>
        <v>45717</v>
      </c>
      <c r="C14" s="1" t="str">
        <f aca="false">cleaned_data!D12</f>
        <v>Airport</v>
      </c>
      <c r="D14" s="1" t="str">
        <f aca="false">cleaned_data!C12</f>
        <v>North</v>
      </c>
      <c r="E14" s="24" t="n">
        <f aca="false">cleaned_data!M12</f>
        <v>723060.76</v>
      </c>
      <c r="F14" s="24" t="n">
        <f aca="false">multiple_regression!B343+multiple_regression!B331*cleaned_data!F12+multiple_regression!B332*cleaned_data!E12+multiple_regression!B333*cleaned_data!H12+multiple_regression!B334*cleaned_data!I12+multiple_regression!B335*cleaned_data!G12+multiple_regression!B336*cleaned_data!K12+multiple_regression!B337*dummy_variables!E15+multiple_regression!B338*dummy_variables!F15+multiple_regression!B339*dummy_variables!G15+multiple_regression!B340*dummy_variables!H15+multiple_regression!B341*dummy_variables!I15+multiple_regression!B342*dummy_variables!J15</f>
        <v>772702.537375421</v>
      </c>
      <c r="G14" s="24" t="n">
        <f aca="false">E14-F14</f>
        <v>-49641.777375421</v>
      </c>
    </row>
    <row r="15" customFormat="false" ht="15" hidden="false" customHeight="true" outlineLevel="0" collapsed="false">
      <c r="A15" s="1" t="str">
        <f aca="false">cleaned_data!A13</f>
        <v>STR-1003</v>
      </c>
      <c r="B15" s="3" t="n">
        <f aca="false">cleaned_data!B13</f>
        <v>45748</v>
      </c>
      <c r="C15" s="1" t="str">
        <f aca="false">cleaned_data!D13</f>
        <v>Airport</v>
      </c>
      <c r="D15" s="1" t="str">
        <f aca="false">cleaned_data!C13</f>
        <v>North</v>
      </c>
      <c r="E15" s="24" t="n">
        <f aca="false">cleaned_data!M13</f>
        <v>910791.94</v>
      </c>
      <c r="F15" s="24" t="n">
        <f aca="false">multiple_regression!B343+multiple_regression!B331*cleaned_data!F13+multiple_regression!B332*cleaned_data!E13+multiple_regression!B333*cleaned_data!H13+multiple_regression!B334*cleaned_data!I13+multiple_regression!B335*cleaned_data!G13+multiple_regression!B336*cleaned_data!K13+multiple_regression!B337*dummy_variables!E16+multiple_regression!B338*dummy_variables!F16+multiple_regression!B339*dummy_variables!G16+multiple_regression!B340*dummy_variables!H16+multiple_regression!B341*dummy_variables!I16+multiple_regression!B342*dummy_variables!J16</f>
        <v>872613.680274409</v>
      </c>
      <c r="G15" s="24" t="n">
        <f aca="false">E15-F15</f>
        <v>38178.2597255908</v>
      </c>
    </row>
    <row r="16" customFormat="false" ht="15" hidden="false" customHeight="true" outlineLevel="0" collapsed="false">
      <c r="A16" s="1" t="str">
        <f aca="false">cleaned_data!A14</f>
        <v>STR-1004</v>
      </c>
      <c r="B16" s="3" t="n">
        <f aca="false">cleaned_data!B14</f>
        <v>45658</v>
      </c>
      <c r="C16" s="1" t="str">
        <f aca="false">cleaned_data!D14</f>
        <v>Residential</v>
      </c>
      <c r="D16" s="1" t="str">
        <f aca="false">cleaned_data!C14</f>
        <v>East</v>
      </c>
      <c r="E16" s="24" t="n">
        <f aca="false">cleaned_data!M14</f>
        <v>922168.6</v>
      </c>
      <c r="F16" s="24" t="n">
        <f aca="false">multiple_regression!B343+multiple_regression!B331*cleaned_data!F14+multiple_regression!B332*cleaned_data!E14+multiple_regression!B333*cleaned_data!H14+multiple_regression!B334*cleaned_data!I14+multiple_regression!B335*cleaned_data!G14+multiple_regression!B336*cleaned_data!K14+multiple_regression!B337*dummy_variables!E17+multiple_regression!B338*dummy_variables!F17+multiple_regression!B339*dummy_variables!G17+multiple_regression!B340*dummy_variables!H17+multiple_regression!B341*dummy_variables!I17+multiple_regression!B342*dummy_variables!J17</f>
        <v>879197.306298655</v>
      </c>
      <c r="G16" s="24" t="n">
        <f aca="false">E16-F16</f>
        <v>42971.2937013446</v>
      </c>
    </row>
    <row r="17" customFormat="false" ht="15" hidden="false" customHeight="true" outlineLevel="0" collapsed="false">
      <c r="A17" s="1" t="str">
        <f aca="false">cleaned_data!A15</f>
        <v>STR-1004</v>
      </c>
      <c r="B17" s="3" t="n">
        <f aca="false">cleaned_data!B15</f>
        <v>45689</v>
      </c>
      <c r="C17" s="1" t="str">
        <f aca="false">cleaned_data!D15</f>
        <v>Residential</v>
      </c>
      <c r="D17" s="1" t="str">
        <f aca="false">cleaned_data!C15</f>
        <v>East</v>
      </c>
      <c r="E17" s="24" t="n">
        <f aca="false">cleaned_data!M15</f>
        <v>726606.28</v>
      </c>
      <c r="F17" s="24" t="n">
        <f aca="false">multiple_regression!B343+multiple_regression!B331*cleaned_data!F15+multiple_regression!B332*cleaned_data!E15+multiple_regression!B333*cleaned_data!H15+multiple_regression!B334*cleaned_data!I15+multiple_regression!B335*cleaned_data!G15+multiple_regression!B336*cleaned_data!K15+multiple_regression!B337*dummy_variables!E18+multiple_regression!B338*dummy_variables!F18+multiple_regression!B339*dummy_variables!G18+multiple_regression!B340*dummy_variables!H18+multiple_regression!B341*dummy_variables!I18+multiple_regression!B342*dummy_variables!J18</f>
        <v>758317.066826584</v>
      </c>
      <c r="G17" s="24" t="n">
        <f aca="false">E17-F17</f>
        <v>-31710.7868265843</v>
      </c>
    </row>
    <row r="18" customFormat="false" ht="15" hidden="false" customHeight="true" outlineLevel="0" collapsed="false">
      <c r="A18" s="1" t="str">
        <f aca="false">cleaned_data!A16</f>
        <v>STR-1004</v>
      </c>
      <c r="B18" s="3" t="n">
        <f aca="false">cleaned_data!B16</f>
        <v>45717</v>
      </c>
      <c r="C18" s="1" t="str">
        <f aca="false">cleaned_data!D16</f>
        <v>Residential</v>
      </c>
      <c r="D18" s="1" t="str">
        <f aca="false">cleaned_data!C16</f>
        <v>East</v>
      </c>
      <c r="E18" s="24" t="n">
        <f aca="false">cleaned_data!M16</f>
        <v>746501.09</v>
      </c>
      <c r="F18" s="24" t="n">
        <f aca="false">multiple_regression!B343+multiple_regression!B331*cleaned_data!F16+multiple_regression!B332*cleaned_data!E16+multiple_regression!B333*cleaned_data!H16+multiple_regression!B334*cleaned_data!I16+multiple_regression!B335*cleaned_data!G16+multiple_regression!B336*cleaned_data!K16+multiple_regression!B337*dummy_variables!E19+multiple_regression!B338*dummy_variables!F19+multiple_regression!B339*dummy_variables!G19+multiple_regression!B340*dummy_variables!H19+multiple_regression!B341*dummy_variables!I19+multiple_regression!B342*dummy_variables!J19</f>
        <v>735432.961601926</v>
      </c>
      <c r="G18" s="24" t="n">
        <f aca="false">E18-F18</f>
        <v>11068.1283980741</v>
      </c>
    </row>
    <row r="19" customFormat="false" ht="15" hidden="false" customHeight="true" outlineLevel="0" collapsed="false">
      <c r="A19" s="1" t="str">
        <f aca="false">cleaned_data!A17</f>
        <v>STR-1004</v>
      </c>
      <c r="B19" s="3" t="n">
        <f aca="false">cleaned_data!B17</f>
        <v>45748</v>
      </c>
      <c r="C19" s="1" t="str">
        <f aca="false">cleaned_data!D17</f>
        <v>Residential</v>
      </c>
      <c r="D19" s="1" t="str">
        <f aca="false">cleaned_data!C17</f>
        <v>East</v>
      </c>
      <c r="E19" s="24" t="n">
        <f aca="false">cleaned_data!M17</f>
        <v>834017.02</v>
      </c>
      <c r="F19" s="24" t="n">
        <f aca="false">multiple_regression!B343+multiple_regression!B331*cleaned_data!F17+multiple_regression!B332*cleaned_data!E17+multiple_regression!B333*cleaned_data!H17+multiple_regression!B334*cleaned_data!I17+multiple_regression!B335*cleaned_data!G17+multiple_regression!B336*cleaned_data!K17+multiple_regression!B337*dummy_variables!E20+multiple_regression!B338*dummy_variables!F20+multiple_regression!B339*dummy_variables!G20+multiple_regression!B340*dummy_variables!H20+multiple_regression!B341*dummy_variables!I20+multiple_regression!B342*dummy_variables!J20</f>
        <v>793285.573547984</v>
      </c>
      <c r="G19" s="24" t="n">
        <f aca="false">E19-F19</f>
        <v>40731.446452016</v>
      </c>
    </row>
    <row r="20" customFormat="false" ht="15" hidden="false" customHeight="true" outlineLevel="0" collapsed="false">
      <c r="A20" s="1" t="str">
        <f aca="false">cleaned_data!A18</f>
        <v>STR-1005</v>
      </c>
      <c r="B20" s="3" t="n">
        <f aca="false">cleaned_data!B18</f>
        <v>45658</v>
      </c>
      <c r="C20" s="1" t="str">
        <f aca="false">cleaned_data!D18</f>
        <v>Residential</v>
      </c>
      <c r="D20" s="1" t="str">
        <f aca="false">cleaned_data!C18</f>
        <v>South</v>
      </c>
      <c r="E20" s="24" t="n">
        <f aca="false">cleaned_data!M18</f>
        <v>666152.52</v>
      </c>
      <c r="F20" s="24" t="n">
        <f aca="false">multiple_regression!B343+multiple_regression!B331*cleaned_data!F18+multiple_regression!B332*cleaned_data!E18+multiple_regression!B333*cleaned_data!H18+multiple_regression!B334*cleaned_data!I18+multiple_regression!B335*cleaned_data!G18+multiple_regression!B336*cleaned_data!K18+multiple_regression!B337*dummy_variables!E21+multiple_regression!B338*dummy_variables!F21+multiple_regression!B339*dummy_variables!G21+multiple_regression!B340*dummy_variables!H21+multiple_regression!B341*dummy_variables!I21+multiple_regression!B342*dummy_variables!J21</f>
        <v>674415.729222794</v>
      </c>
      <c r="G20" s="24" t="n">
        <f aca="false">E20-F20</f>
        <v>-8263.20922279439</v>
      </c>
    </row>
    <row r="21" customFormat="false" ht="15" hidden="false" customHeight="true" outlineLevel="0" collapsed="false">
      <c r="A21" s="1" t="str">
        <f aca="false">cleaned_data!A19</f>
        <v>STR-1005</v>
      </c>
      <c r="B21" s="3" t="n">
        <f aca="false">cleaned_data!B19</f>
        <v>45689</v>
      </c>
      <c r="C21" s="1" t="str">
        <f aca="false">cleaned_data!D19</f>
        <v>Residential</v>
      </c>
      <c r="D21" s="1" t="str">
        <f aca="false">cleaned_data!C19</f>
        <v>South</v>
      </c>
      <c r="E21" s="24" t="n">
        <f aca="false">cleaned_data!M19</f>
        <v>573155.19</v>
      </c>
      <c r="F21" s="24" t="n">
        <f aca="false">multiple_regression!B343+multiple_regression!B331*cleaned_data!F19+multiple_regression!B332*cleaned_data!E19+multiple_regression!B333*cleaned_data!H19+multiple_regression!B334*cleaned_data!I19+multiple_regression!B335*cleaned_data!G19+multiple_regression!B336*cleaned_data!K19+multiple_regression!B337*dummy_variables!E22+multiple_regression!B338*dummy_variables!F22+multiple_regression!B339*dummy_variables!G22+multiple_regression!B340*dummy_variables!H22+multiple_regression!B341*dummy_variables!I22+multiple_regression!B342*dummy_variables!J22</f>
        <v>583977.565677129</v>
      </c>
      <c r="G21" s="24" t="n">
        <f aca="false">E21-F21</f>
        <v>-10822.375677129</v>
      </c>
    </row>
    <row r="22" customFormat="false" ht="15" hidden="false" customHeight="true" outlineLevel="0" collapsed="false">
      <c r="A22" s="1" t="str">
        <f aca="false">cleaned_data!A20</f>
        <v>STR-1005</v>
      </c>
      <c r="B22" s="3" t="n">
        <f aca="false">cleaned_data!B20</f>
        <v>45717</v>
      </c>
      <c r="C22" s="1" t="str">
        <f aca="false">cleaned_data!D20</f>
        <v>Residential</v>
      </c>
      <c r="D22" s="1" t="str">
        <f aca="false">cleaned_data!C20</f>
        <v>South</v>
      </c>
      <c r="E22" s="24" t="n">
        <f aca="false">cleaned_data!M20</f>
        <v>666573.2</v>
      </c>
      <c r="F22" s="24" t="n">
        <f aca="false">multiple_regression!B343+multiple_regression!B331*cleaned_data!F20+multiple_regression!B332*cleaned_data!E20+multiple_regression!B333*cleaned_data!H20+multiple_regression!B334*cleaned_data!I20+multiple_regression!B335*cleaned_data!G20+multiple_regression!B336*cleaned_data!K20+multiple_regression!B337*dummy_variables!E23+multiple_regression!B338*dummy_variables!F23+multiple_regression!B339*dummy_variables!G23+multiple_regression!B340*dummy_variables!H23+multiple_regression!B341*dummy_variables!I23+multiple_regression!B342*dummy_variables!J23</f>
        <v>686223.219516184</v>
      </c>
      <c r="G22" s="24" t="n">
        <f aca="false">E22-F22</f>
        <v>-19650.0195161841</v>
      </c>
    </row>
    <row r="23" customFormat="false" ht="15" hidden="false" customHeight="true" outlineLevel="0" collapsed="false">
      <c r="A23" s="1" t="str">
        <f aca="false">cleaned_data!A21</f>
        <v>STR-1005</v>
      </c>
      <c r="B23" s="3" t="n">
        <f aca="false">cleaned_data!B21</f>
        <v>45748</v>
      </c>
      <c r="C23" s="1" t="str">
        <f aca="false">cleaned_data!D21</f>
        <v>Residential</v>
      </c>
      <c r="D23" s="1" t="str">
        <f aca="false">cleaned_data!C21</f>
        <v>South</v>
      </c>
      <c r="E23" s="24" t="n">
        <f aca="false">cleaned_data!M21</f>
        <v>591619.95</v>
      </c>
      <c r="F23" s="24" t="n">
        <f aca="false">multiple_regression!B343+multiple_regression!B331*cleaned_data!F21+multiple_regression!B332*cleaned_data!E21+multiple_regression!B333*cleaned_data!H21+multiple_regression!B334*cleaned_data!I21+multiple_regression!B335*cleaned_data!G21+multiple_regression!B336*cleaned_data!K21+multiple_regression!B337*dummy_variables!E24+multiple_regression!B338*dummy_variables!F24+multiple_regression!B339*dummy_variables!G24+multiple_regression!B340*dummy_variables!H24+multiple_regression!B341*dummy_variables!I24+multiple_regression!B342*dummy_variables!J24</f>
        <v>601784.508294265</v>
      </c>
      <c r="G23" s="24" t="n">
        <f aca="false">E23-F23</f>
        <v>-10164.5582942654</v>
      </c>
    </row>
    <row r="24" customFormat="false" ht="15" hidden="false" customHeight="true" outlineLevel="0" collapsed="false">
      <c r="A24" s="1" t="str">
        <f aca="false">cleaned_data!A22</f>
        <v>STR-1006</v>
      </c>
      <c r="B24" s="3" t="n">
        <f aca="false">cleaned_data!B22</f>
        <v>45658</v>
      </c>
      <c r="C24" s="1" t="str">
        <f aca="false">cleaned_data!D22</f>
        <v>Residential</v>
      </c>
      <c r="D24" s="1" t="str">
        <f aca="false">cleaned_data!C22</f>
        <v>North</v>
      </c>
      <c r="E24" s="24" t="n">
        <f aca="false">cleaned_data!M22</f>
        <v>415721.82</v>
      </c>
      <c r="F24" s="24" t="n">
        <f aca="false">multiple_regression!B343+multiple_regression!B331*cleaned_data!F22+multiple_regression!B332*cleaned_data!E22+multiple_regression!B333*cleaned_data!H22+multiple_regression!B334*cleaned_data!I22+multiple_regression!B335*cleaned_data!G22+multiple_regression!B336*cleaned_data!K22+multiple_regression!B337*dummy_variables!E25+multiple_regression!B338*dummy_variables!F25+multiple_regression!B339*dummy_variables!G25+multiple_regression!B340*dummy_variables!H25+multiple_regression!B341*dummy_variables!I25+multiple_regression!B342*dummy_variables!J25</f>
        <v>484383.614434374</v>
      </c>
      <c r="G24" s="24" t="n">
        <f aca="false">E24-F24</f>
        <v>-68661.7944343737</v>
      </c>
    </row>
    <row r="25" customFormat="false" ht="15" hidden="false" customHeight="true" outlineLevel="0" collapsed="false">
      <c r="A25" s="1" t="str">
        <f aca="false">cleaned_data!A23</f>
        <v>STR-1006</v>
      </c>
      <c r="B25" s="3" t="n">
        <f aca="false">cleaned_data!B23</f>
        <v>45689</v>
      </c>
      <c r="C25" s="1" t="str">
        <f aca="false">cleaned_data!D23</f>
        <v>Residential</v>
      </c>
      <c r="D25" s="1" t="str">
        <f aca="false">cleaned_data!C23</f>
        <v>North</v>
      </c>
      <c r="E25" s="24" t="n">
        <f aca="false">cleaned_data!M23</f>
        <v>491905.13</v>
      </c>
      <c r="F25" s="24" t="n">
        <f aca="false">multiple_regression!B343+multiple_regression!B331*cleaned_data!F23+multiple_regression!B332*cleaned_data!E23+multiple_regression!B333*cleaned_data!H23+multiple_regression!B334*cleaned_data!I23+multiple_regression!B335*cleaned_data!G23+multiple_regression!B336*cleaned_data!K23+multiple_regression!B337*dummy_variables!E26+multiple_regression!B338*dummy_variables!F26+multiple_regression!B339*dummy_variables!G26+multiple_regression!B340*dummy_variables!H26+multiple_regression!B341*dummy_variables!I26+multiple_regression!B342*dummy_variables!J26</f>
        <v>479346.798521261</v>
      </c>
      <c r="G25" s="24" t="n">
        <f aca="false">E25-F25</f>
        <v>12558.3314787394</v>
      </c>
    </row>
    <row r="26" customFormat="false" ht="15" hidden="false" customHeight="true" outlineLevel="0" collapsed="false">
      <c r="A26" s="1" t="str">
        <f aca="false">cleaned_data!A24</f>
        <v>STR-1006</v>
      </c>
      <c r="B26" s="3" t="n">
        <f aca="false">cleaned_data!B24</f>
        <v>45717</v>
      </c>
      <c r="C26" s="1" t="str">
        <f aca="false">cleaned_data!D24</f>
        <v>Residential</v>
      </c>
      <c r="D26" s="1" t="str">
        <f aca="false">cleaned_data!C24</f>
        <v>North</v>
      </c>
      <c r="E26" s="24" t="n">
        <f aca="false">cleaned_data!M24</f>
        <v>555929.4</v>
      </c>
      <c r="F26" s="24" t="n">
        <f aca="false">multiple_regression!B343+multiple_regression!B331*cleaned_data!F24+multiple_regression!B332*cleaned_data!E24+multiple_regression!B333*cleaned_data!H24+multiple_regression!B334*cleaned_data!I24+multiple_regression!B335*cleaned_data!G24+multiple_regression!B336*cleaned_data!K24+multiple_regression!B337*dummy_variables!E27+multiple_regression!B338*dummy_variables!F27+multiple_regression!B339*dummy_variables!G27+multiple_regression!B340*dummy_variables!H27+multiple_regression!B341*dummy_variables!I27+multiple_regression!B342*dummy_variables!J27</f>
        <v>536623.805167446</v>
      </c>
      <c r="G26" s="24" t="n">
        <f aca="false">E26-F26</f>
        <v>19305.5948325543</v>
      </c>
    </row>
    <row r="27" customFormat="false" ht="15" hidden="false" customHeight="true" outlineLevel="0" collapsed="false">
      <c r="A27" s="1" t="str">
        <f aca="false">cleaned_data!A25</f>
        <v>STR-1006</v>
      </c>
      <c r="B27" s="3" t="n">
        <f aca="false">cleaned_data!B25</f>
        <v>45748</v>
      </c>
      <c r="C27" s="1" t="str">
        <f aca="false">cleaned_data!D25</f>
        <v>Residential</v>
      </c>
      <c r="D27" s="1" t="str">
        <f aca="false">cleaned_data!C25</f>
        <v>North</v>
      </c>
      <c r="E27" s="24" t="n">
        <f aca="false">cleaned_data!M25</f>
        <v>565810.99</v>
      </c>
      <c r="F27" s="24" t="n">
        <f aca="false">multiple_regression!B343+multiple_regression!B331*cleaned_data!F25+multiple_regression!B332*cleaned_data!E25+multiple_regression!B333*cleaned_data!H25+multiple_regression!B334*cleaned_data!I25+multiple_regression!B335*cleaned_data!G25+multiple_regression!B336*cleaned_data!K25+multiple_regression!B337*dummy_variables!E28+multiple_regression!B338*dummy_variables!F28+multiple_regression!B339*dummy_variables!G28+multiple_regression!B340*dummy_variables!H28+multiple_regression!B341*dummy_variables!I28+multiple_regression!B342*dummy_variables!J28</f>
        <v>547102.373161673</v>
      </c>
      <c r="G27" s="24" t="n">
        <f aca="false">E27-F27</f>
        <v>18708.6168383267</v>
      </c>
    </row>
    <row r="28" customFormat="false" ht="15" hidden="false" customHeight="true" outlineLevel="0" collapsed="false">
      <c r="A28" s="1" t="str">
        <f aca="false">cleaned_data!A26</f>
        <v>STR-1007</v>
      </c>
      <c r="B28" s="3" t="n">
        <f aca="false">cleaned_data!B26</f>
        <v>45658</v>
      </c>
      <c r="C28" s="1" t="str">
        <f aca="false">cleaned_data!D26</f>
        <v>Mall</v>
      </c>
      <c r="D28" s="1" t="str">
        <f aca="false">cleaned_data!C26</f>
        <v>West</v>
      </c>
      <c r="E28" s="24" t="n">
        <f aca="false">cleaned_data!M26</f>
        <v>811771.14</v>
      </c>
      <c r="F28" s="24" t="n">
        <f aca="false">multiple_regression!B343+multiple_regression!B331*cleaned_data!F26+multiple_regression!B332*cleaned_data!E26+multiple_regression!B333*cleaned_data!H26+multiple_regression!B334*cleaned_data!I26+multiple_regression!B335*cleaned_data!G26+multiple_regression!B336*cleaned_data!K26+multiple_regression!B337*dummy_variables!E29+multiple_regression!B338*dummy_variables!F29+multiple_regression!B339*dummy_variables!G29+multiple_regression!B340*dummy_variables!H29+multiple_regression!B341*dummy_variables!I29+multiple_regression!B342*dummy_variables!J29</f>
        <v>849064.198633395</v>
      </c>
      <c r="G28" s="24" t="n">
        <f aca="false">E28-F28</f>
        <v>-37293.0586333945</v>
      </c>
    </row>
    <row r="29" customFormat="false" ht="15" hidden="false" customHeight="true" outlineLevel="0" collapsed="false">
      <c r="A29" s="1" t="str">
        <f aca="false">cleaned_data!A27</f>
        <v>STR-1007</v>
      </c>
      <c r="B29" s="3" t="n">
        <f aca="false">cleaned_data!B27</f>
        <v>45689</v>
      </c>
      <c r="C29" s="1" t="str">
        <f aca="false">cleaned_data!D27</f>
        <v>Mall</v>
      </c>
      <c r="D29" s="1" t="str">
        <f aca="false">cleaned_data!C27</f>
        <v>West</v>
      </c>
      <c r="E29" s="24" t="n">
        <f aca="false">cleaned_data!M27</f>
        <v>800451.94</v>
      </c>
      <c r="F29" s="24" t="n">
        <f aca="false">multiple_regression!B343+multiple_regression!B331*cleaned_data!F27+multiple_regression!B332*cleaned_data!E27+multiple_regression!B333*cleaned_data!H27+multiple_regression!B334*cleaned_data!I27+multiple_regression!B335*cleaned_data!G27+multiple_regression!B336*cleaned_data!K27+multiple_regression!B337*dummy_variables!E30+multiple_regression!B338*dummy_variables!F30+multiple_regression!B339*dummy_variables!G30+multiple_regression!B340*dummy_variables!H30+multiple_regression!B341*dummy_variables!I30+multiple_regression!B342*dummy_variables!J30</f>
        <v>909274.153305486</v>
      </c>
      <c r="G29" s="24" t="n">
        <f aca="false">E29-F29</f>
        <v>-108822.213305486</v>
      </c>
    </row>
    <row r="30" customFormat="false" ht="15" hidden="false" customHeight="true" outlineLevel="0" collapsed="false">
      <c r="A30" s="1" t="str">
        <f aca="false">cleaned_data!A28</f>
        <v>STR-1007</v>
      </c>
      <c r="B30" s="3" t="n">
        <f aca="false">cleaned_data!B28</f>
        <v>45717</v>
      </c>
      <c r="C30" s="1" t="str">
        <f aca="false">cleaned_data!D28</f>
        <v>Mall</v>
      </c>
      <c r="D30" s="1" t="str">
        <f aca="false">cleaned_data!C28</f>
        <v>West</v>
      </c>
      <c r="E30" s="24" t="n">
        <f aca="false">cleaned_data!M28</f>
        <v>783672.82</v>
      </c>
      <c r="F30" s="24" t="n">
        <f aca="false">multiple_regression!B343+multiple_regression!B331*cleaned_data!F28+multiple_regression!B332*cleaned_data!E28+multiple_regression!B333*cleaned_data!H28+multiple_regression!B334*cleaned_data!I28+multiple_regression!B335*cleaned_data!G28+multiple_regression!B336*cleaned_data!K28+multiple_regression!B337*dummy_variables!E31+multiple_regression!B338*dummy_variables!F31+multiple_regression!B339*dummy_variables!G31+multiple_regression!B340*dummy_variables!H31+multiple_regression!B341*dummy_variables!I31+multiple_regression!B342*dummy_variables!J31</f>
        <v>803749.208372602</v>
      </c>
      <c r="G30" s="24" t="n">
        <f aca="false">E30-F30</f>
        <v>-20076.3883726018</v>
      </c>
    </row>
    <row r="31" customFormat="false" ht="15" hidden="false" customHeight="true" outlineLevel="0" collapsed="false">
      <c r="A31" s="1" t="str">
        <f aca="false">cleaned_data!A29</f>
        <v>STR-1007</v>
      </c>
      <c r="B31" s="3" t="n">
        <f aca="false">cleaned_data!B29</f>
        <v>45748</v>
      </c>
      <c r="C31" s="1" t="str">
        <f aca="false">cleaned_data!D29</f>
        <v>Mall</v>
      </c>
      <c r="D31" s="1" t="str">
        <f aca="false">cleaned_data!C29</f>
        <v>West</v>
      </c>
      <c r="E31" s="24" t="n">
        <f aca="false">cleaned_data!M29</f>
        <v>701641.97</v>
      </c>
      <c r="F31" s="24" t="n">
        <f aca="false">multiple_regression!B343+multiple_regression!B331*cleaned_data!F29+multiple_regression!B332*cleaned_data!E29+multiple_regression!B333*cleaned_data!H29+multiple_regression!B334*cleaned_data!I29+multiple_regression!B335*cleaned_data!G29+multiple_regression!B336*cleaned_data!K29+multiple_regression!B337*dummy_variables!E32+multiple_regression!B338*dummy_variables!F32+multiple_regression!B339*dummy_variables!G32+multiple_regression!B340*dummy_variables!H32+multiple_regression!B341*dummy_variables!I32+multiple_regression!B342*dummy_variables!J32</f>
        <v>700046.872482475</v>
      </c>
      <c r="G31" s="24" t="n">
        <f aca="false">E31-F31</f>
        <v>1595.09751752531</v>
      </c>
    </row>
    <row r="32" customFormat="false" ht="15" hidden="false" customHeight="true" outlineLevel="0" collapsed="false">
      <c r="A32" s="1" t="str">
        <f aca="false">cleaned_data!A30</f>
        <v>STR-1008</v>
      </c>
      <c r="B32" s="3" t="n">
        <f aca="false">cleaned_data!B30</f>
        <v>45658</v>
      </c>
      <c r="C32" s="1" t="str">
        <f aca="false">cleaned_data!D30</f>
        <v>Residential</v>
      </c>
      <c r="D32" s="1" t="str">
        <f aca="false">cleaned_data!C30</f>
        <v>East</v>
      </c>
      <c r="E32" s="24" t="n">
        <f aca="false">cleaned_data!M30</f>
        <v>511844.41</v>
      </c>
      <c r="F32" s="24" t="n">
        <f aca="false">multiple_regression!B343+multiple_regression!B331*cleaned_data!F30+multiple_regression!B332*cleaned_data!E30+multiple_regression!B333*cleaned_data!H30+multiple_regression!B334*cleaned_data!I30+multiple_regression!B335*cleaned_data!G30+multiple_regression!B336*cleaned_data!K30+multiple_regression!B337*dummy_variables!E33+multiple_regression!B338*dummy_variables!F33+multiple_regression!B339*dummy_variables!G33+multiple_regression!B340*dummy_variables!H33+multiple_regression!B341*dummy_variables!I33+multiple_regression!B342*dummy_variables!J33</f>
        <v>565454.89301643</v>
      </c>
      <c r="G32" s="24" t="n">
        <f aca="false">E32-F32</f>
        <v>-53610.48301643</v>
      </c>
    </row>
    <row r="33" customFormat="false" ht="15" hidden="false" customHeight="true" outlineLevel="0" collapsed="false">
      <c r="A33" s="1" t="str">
        <f aca="false">cleaned_data!A31</f>
        <v>STR-1008</v>
      </c>
      <c r="B33" s="3" t="n">
        <f aca="false">cleaned_data!B31</f>
        <v>45689</v>
      </c>
      <c r="C33" s="1" t="str">
        <f aca="false">cleaned_data!D31</f>
        <v>Residential</v>
      </c>
      <c r="D33" s="1" t="str">
        <f aca="false">cleaned_data!C31</f>
        <v>East</v>
      </c>
      <c r="E33" s="24" t="n">
        <f aca="false">cleaned_data!M31</f>
        <v>537383.79</v>
      </c>
      <c r="F33" s="24" t="n">
        <f aca="false">multiple_regression!B343+multiple_regression!B331*cleaned_data!F31+multiple_regression!B332*cleaned_data!E31+multiple_regression!B333*cleaned_data!H31+multiple_regression!B334*cleaned_data!I31+multiple_regression!B335*cleaned_data!G31+multiple_regression!B336*cleaned_data!K31+multiple_regression!B337*dummy_variables!E34+multiple_regression!B338*dummy_variables!F34+multiple_regression!B339*dummy_variables!G34+multiple_regression!B340*dummy_variables!H34+multiple_regression!B341*dummy_variables!I34+multiple_regression!B342*dummy_variables!J34</f>
        <v>511409.559791575</v>
      </c>
      <c r="G33" s="24" t="n">
        <f aca="false">E33-F33</f>
        <v>25974.230208425</v>
      </c>
    </row>
    <row r="34" customFormat="false" ht="15" hidden="false" customHeight="true" outlineLevel="0" collapsed="false">
      <c r="A34" s="1" t="str">
        <f aca="false">cleaned_data!A32</f>
        <v>STR-1008</v>
      </c>
      <c r="B34" s="3" t="n">
        <f aca="false">cleaned_data!B32</f>
        <v>45717</v>
      </c>
      <c r="C34" s="1" t="str">
        <f aca="false">cleaned_data!D32</f>
        <v>Residential</v>
      </c>
      <c r="D34" s="1" t="str">
        <f aca="false">cleaned_data!C32</f>
        <v>East</v>
      </c>
      <c r="E34" s="24" t="n">
        <f aca="false">cleaned_data!M32</f>
        <v>500173.02</v>
      </c>
      <c r="F34" s="24" t="n">
        <f aca="false">multiple_regression!B343+multiple_regression!B331*cleaned_data!F32+multiple_regression!B332*cleaned_data!E32+multiple_regression!B333*cleaned_data!H32+multiple_regression!B334*cleaned_data!I32+multiple_regression!B335*cleaned_data!G32+multiple_regression!B336*cleaned_data!K32+multiple_regression!B337*dummy_variables!E35+multiple_regression!B338*dummy_variables!F35+multiple_regression!B339*dummy_variables!G35+multiple_regression!B340*dummy_variables!H35+multiple_regression!B341*dummy_variables!I35+multiple_regression!B342*dummy_variables!J35</f>
        <v>519162.624831712</v>
      </c>
      <c r="G34" s="24" t="n">
        <f aca="false">E34-F34</f>
        <v>-18989.6048317121</v>
      </c>
    </row>
    <row r="35" customFormat="false" ht="15" hidden="false" customHeight="true" outlineLevel="0" collapsed="false">
      <c r="A35" s="1" t="str">
        <f aca="false">cleaned_data!A33</f>
        <v>STR-1008</v>
      </c>
      <c r="B35" s="3" t="n">
        <f aca="false">cleaned_data!B33</f>
        <v>45748</v>
      </c>
      <c r="C35" s="1" t="str">
        <f aca="false">cleaned_data!D33</f>
        <v>Residential</v>
      </c>
      <c r="D35" s="1" t="str">
        <f aca="false">cleaned_data!C33</f>
        <v>East</v>
      </c>
      <c r="E35" s="24" t="n">
        <f aca="false">cleaned_data!M33</f>
        <v>427917.38</v>
      </c>
      <c r="F35" s="24" t="n">
        <f aca="false">multiple_regression!B343+multiple_regression!B331*cleaned_data!F33+multiple_regression!B332*cleaned_data!E33+multiple_regression!B333*cleaned_data!H33+multiple_regression!B334*cleaned_data!I33+multiple_regression!B335*cleaned_data!G33+multiple_regression!B336*cleaned_data!K33+multiple_regression!B337*dummy_variables!E36+multiple_regression!B338*dummy_variables!F36+multiple_regression!B339*dummy_variables!G36+multiple_regression!B340*dummy_variables!H36+multiple_regression!B341*dummy_variables!I36+multiple_regression!B342*dummy_variables!J36</f>
        <v>476919.65431343</v>
      </c>
      <c r="G35" s="24" t="n">
        <f aca="false">E35-F35</f>
        <v>-49002.2743134299</v>
      </c>
    </row>
    <row r="36" customFormat="false" ht="15" hidden="false" customHeight="true" outlineLevel="0" collapsed="false">
      <c r="A36" s="1" t="str">
        <f aca="false">cleaned_data!A34</f>
        <v>STR-1009</v>
      </c>
      <c r="B36" s="3" t="n">
        <f aca="false">cleaned_data!B34</f>
        <v>45658</v>
      </c>
      <c r="C36" s="1" t="str">
        <f aca="false">cleaned_data!D34</f>
        <v>Residential</v>
      </c>
      <c r="D36" s="1" t="str">
        <f aca="false">cleaned_data!C34</f>
        <v>North</v>
      </c>
      <c r="E36" s="24" t="n">
        <f aca="false">cleaned_data!M34</f>
        <v>641865.03</v>
      </c>
      <c r="F36" s="24" t="n">
        <f aca="false">multiple_regression!B343+multiple_regression!B331*cleaned_data!F34+multiple_regression!B332*cleaned_data!E34+multiple_regression!B333*cleaned_data!H34+multiple_regression!B334*cleaned_data!I34+multiple_regression!B335*cleaned_data!G34+multiple_regression!B336*cleaned_data!K34+multiple_regression!B337*dummy_variables!E37+multiple_regression!B338*dummy_variables!F37+multiple_regression!B339*dummy_variables!G37+multiple_regression!B340*dummy_variables!H37+multiple_regression!B341*dummy_variables!I37+multiple_regression!B342*dummy_variables!J37</f>
        <v>731218.552967043</v>
      </c>
      <c r="G36" s="24" t="n">
        <f aca="false">E36-F36</f>
        <v>-89353.5229670431</v>
      </c>
    </row>
    <row r="37" customFormat="false" ht="15" hidden="false" customHeight="true" outlineLevel="0" collapsed="false">
      <c r="A37" s="1" t="str">
        <f aca="false">cleaned_data!A35</f>
        <v>STR-1009</v>
      </c>
      <c r="B37" s="3" t="n">
        <f aca="false">cleaned_data!B35</f>
        <v>45689</v>
      </c>
      <c r="C37" s="1" t="str">
        <f aca="false">cleaned_data!D35</f>
        <v>Residential</v>
      </c>
      <c r="D37" s="1" t="str">
        <f aca="false">cleaned_data!C35</f>
        <v>North</v>
      </c>
      <c r="E37" s="24" t="n">
        <f aca="false">cleaned_data!M35</f>
        <v>799477.76</v>
      </c>
      <c r="F37" s="24" t="n">
        <f aca="false">multiple_regression!B343+multiple_regression!B331*cleaned_data!F35+multiple_regression!B332*cleaned_data!E35+multiple_regression!B333*cleaned_data!H35+multiple_regression!B334*cleaned_data!I35+multiple_regression!B335*cleaned_data!G35+multiple_regression!B336*cleaned_data!K35+multiple_regression!B337*dummy_variables!E38+multiple_regression!B338*dummy_variables!F38+multiple_regression!B339*dummy_variables!G38+multiple_regression!B340*dummy_variables!H38+multiple_regression!B341*dummy_variables!I38+multiple_regression!B342*dummy_variables!J38</f>
        <v>839012.34396716</v>
      </c>
      <c r="G37" s="24" t="n">
        <f aca="false">E37-F37</f>
        <v>-39534.5839671597</v>
      </c>
    </row>
    <row r="38" customFormat="false" ht="15" hidden="false" customHeight="true" outlineLevel="0" collapsed="false">
      <c r="A38" s="1" t="str">
        <f aca="false">cleaned_data!A36</f>
        <v>STR-1009</v>
      </c>
      <c r="B38" s="3" t="n">
        <f aca="false">cleaned_data!B36</f>
        <v>45717</v>
      </c>
      <c r="C38" s="1" t="str">
        <f aca="false">cleaned_data!D36</f>
        <v>Residential</v>
      </c>
      <c r="D38" s="1" t="str">
        <f aca="false">cleaned_data!C36</f>
        <v>North</v>
      </c>
      <c r="E38" s="24" t="n">
        <f aca="false">cleaned_data!M36</f>
        <v>798952.17</v>
      </c>
      <c r="F38" s="24" t="n">
        <f aca="false">multiple_regression!B343+multiple_regression!B331*cleaned_data!F36+multiple_regression!B332*cleaned_data!E36+multiple_regression!B333*cleaned_data!H36+multiple_regression!B334*cleaned_data!I36+multiple_regression!B335*cleaned_data!G36+multiple_regression!B336*cleaned_data!K36+multiple_regression!B337*dummy_variables!E39+multiple_regression!B338*dummy_variables!F39+multiple_regression!B339*dummy_variables!G39+multiple_regression!B340*dummy_variables!H39+multiple_regression!B341*dummy_variables!I39+multiple_regression!B342*dummy_variables!J39</f>
        <v>794817.87389848</v>
      </c>
      <c r="G38" s="24" t="n">
        <f aca="false">E38-F38</f>
        <v>4134.29610151972</v>
      </c>
    </row>
    <row r="39" customFormat="false" ht="15" hidden="false" customHeight="true" outlineLevel="0" collapsed="false">
      <c r="A39" s="1" t="str">
        <f aca="false">cleaned_data!A37</f>
        <v>STR-1009</v>
      </c>
      <c r="B39" s="3" t="n">
        <f aca="false">cleaned_data!B37</f>
        <v>45748</v>
      </c>
      <c r="C39" s="1" t="str">
        <f aca="false">cleaned_data!D37</f>
        <v>Residential</v>
      </c>
      <c r="D39" s="1" t="str">
        <f aca="false">cleaned_data!C37</f>
        <v>North</v>
      </c>
      <c r="E39" s="24" t="n">
        <f aca="false">cleaned_data!M37</f>
        <v>800979.78</v>
      </c>
      <c r="F39" s="24" t="n">
        <f aca="false">multiple_regression!B343+multiple_regression!B331*cleaned_data!F37+multiple_regression!B332*cleaned_data!E37+multiple_regression!B333*cleaned_data!H37+multiple_regression!B334*cleaned_data!I37+multiple_regression!B335*cleaned_data!G37+multiple_regression!B336*cleaned_data!K37+multiple_regression!B337*dummy_variables!E40+multiple_regression!B338*dummy_variables!F40+multiple_regression!B339*dummy_variables!G40+multiple_regression!B340*dummy_variables!H40+multiple_regression!B341*dummy_variables!I40+multiple_regression!B342*dummy_variables!J40</f>
        <v>814219.228451048</v>
      </c>
      <c r="G39" s="24" t="n">
        <f aca="false">E39-F39</f>
        <v>-13239.4484510482</v>
      </c>
    </row>
    <row r="40" customFormat="false" ht="15" hidden="false" customHeight="true" outlineLevel="0" collapsed="false">
      <c r="A40" s="1" t="str">
        <f aca="false">cleaned_data!A38</f>
        <v>STR-1010</v>
      </c>
      <c r="B40" s="3" t="n">
        <f aca="false">cleaned_data!B38</f>
        <v>45658</v>
      </c>
      <c r="C40" s="1" t="str">
        <f aca="false">cleaned_data!D38</f>
        <v>Mall</v>
      </c>
      <c r="D40" s="1" t="str">
        <f aca="false">cleaned_data!C38</f>
        <v>North</v>
      </c>
      <c r="E40" s="24" t="n">
        <f aca="false">cleaned_data!M38</f>
        <v>820593.93</v>
      </c>
      <c r="F40" s="24" t="n">
        <f aca="false">multiple_regression!B343+multiple_regression!B331*cleaned_data!F38+multiple_regression!B332*cleaned_data!E38+multiple_regression!B333*cleaned_data!H38+multiple_regression!B334*cleaned_data!I38+multiple_regression!B335*cleaned_data!G38+multiple_regression!B336*cleaned_data!K38+multiple_regression!B337*dummy_variables!E41+multiple_regression!B338*dummy_variables!F41+multiple_regression!B339*dummy_variables!G41+multiple_regression!B340*dummy_variables!H41+multiple_regression!B341*dummy_variables!I41+multiple_regression!B342*dummy_variables!J41</f>
        <v>788629.297765608</v>
      </c>
      <c r="G40" s="24" t="n">
        <f aca="false">E40-F40</f>
        <v>31964.6322343923</v>
      </c>
    </row>
    <row r="41" customFormat="false" ht="15" hidden="false" customHeight="true" outlineLevel="0" collapsed="false">
      <c r="A41" s="1" t="str">
        <f aca="false">cleaned_data!A39</f>
        <v>STR-1010</v>
      </c>
      <c r="B41" s="3" t="n">
        <f aca="false">cleaned_data!B39</f>
        <v>45689</v>
      </c>
      <c r="C41" s="1" t="str">
        <f aca="false">cleaned_data!D39</f>
        <v>Mall</v>
      </c>
      <c r="D41" s="1" t="str">
        <f aca="false">cleaned_data!C39</f>
        <v>North</v>
      </c>
      <c r="E41" s="24" t="n">
        <f aca="false">cleaned_data!M39</f>
        <v>718330.53</v>
      </c>
      <c r="F41" s="24" t="n">
        <f aca="false">multiple_regression!B343+multiple_regression!B331*cleaned_data!F39+multiple_regression!B332*cleaned_data!E39+multiple_regression!B333*cleaned_data!H39+multiple_regression!B334*cleaned_data!I39+multiple_regression!B335*cleaned_data!G39+multiple_regression!B336*cleaned_data!K39+multiple_regression!B337*dummy_variables!E42+multiple_regression!B338*dummy_variables!F42+multiple_regression!B339*dummy_variables!G42+multiple_regression!B340*dummy_variables!H42+multiple_regression!B341*dummy_variables!I42+multiple_regression!B342*dummy_variables!J42</f>
        <v>757659.699522419</v>
      </c>
      <c r="G41" s="24" t="n">
        <f aca="false">E41-F41</f>
        <v>-39329.1695224191</v>
      </c>
    </row>
    <row r="42" customFormat="false" ht="15" hidden="false" customHeight="true" outlineLevel="0" collapsed="false">
      <c r="A42" s="1" t="str">
        <f aca="false">cleaned_data!A40</f>
        <v>STR-1010</v>
      </c>
      <c r="B42" s="3" t="n">
        <f aca="false">cleaned_data!B40</f>
        <v>45717</v>
      </c>
      <c r="C42" s="1" t="str">
        <f aca="false">cleaned_data!D40</f>
        <v>Mall</v>
      </c>
      <c r="D42" s="1" t="str">
        <f aca="false">cleaned_data!C40</f>
        <v>North</v>
      </c>
      <c r="E42" s="24" t="n">
        <f aca="false">cleaned_data!M40</f>
        <v>736633.4</v>
      </c>
      <c r="F42" s="24" t="n">
        <f aca="false">multiple_regression!B343+multiple_regression!B331*cleaned_data!F40+multiple_regression!B332*cleaned_data!E40+multiple_regression!B333*cleaned_data!H40+multiple_regression!B334*cleaned_data!I40+multiple_regression!B335*cleaned_data!G40+multiple_regression!B336*cleaned_data!K40+multiple_regression!B337*dummy_variables!E43+multiple_regression!B338*dummy_variables!F43+multiple_regression!B339*dummy_variables!G43+multiple_regression!B340*dummy_variables!H43+multiple_regression!B341*dummy_variables!I43+multiple_regression!B342*dummy_variables!J43</f>
        <v>745718.604329027</v>
      </c>
      <c r="G42" s="24" t="n">
        <f aca="false">E42-F42</f>
        <v>-9085.20432902698</v>
      </c>
    </row>
    <row r="43" customFormat="false" ht="15" hidden="false" customHeight="true" outlineLevel="0" collapsed="false">
      <c r="A43" s="1" t="str">
        <f aca="false">cleaned_data!A41</f>
        <v>STR-1010</v>
      </c>
      <c r="B43" s="3" t="n">
        <f aca="false">cleaned_data!B41</f>
        <v>45748</v>
      </c>
      <c r="C43" s="1" t="str">
        <f aca="false">cleaned_data!D41</f>
        <v>Mall</v>
      </c>
      <c r="D43" s="1" t="str">
        <f aca="false">cleaned_data!C41</f>
        <v>North</v>
      </c>
      <c r="E43" s="24" t="n">
        <f aca="false">cleaned_data!M41</f>
        <v>828623.85</v>
      </c>
      <c r="F43" s="24" t="n">
        <f aca="false">multiple_regression!B343+multiple_regression!B331*cleaned_data!F41+multiple_regression!B332*cleaned_data!E41+multiple_regression!B333*cleaned_data!H41+multiple_regression!B334*cleaned_data!I41+multiple_regression!B335*cleaned_data!G41+multiple_regression!B336*cleaned_data!K41+multiple_regression!B337*dummy_variables!E44+multiple_regression!B338*dummy_variables!F44+multiple_regression!B339*dummy_variables!G44+multiple_regression!B340*dummy_variables!H44+multiple_regression!B341*dummy_variables!I44+multiple_regression!B342*dummy_variables!J44</f>
        <v>837415.679478975</v>
      </c>
      <c r="G43" s="24" t="n">
        <f aca="false">E43-F43</f>
        <v>-8791.82947897457</v>
      </c>
    </row>
    <row r="44" customFormat="false" ht="15" hidden="false" customHeight="true" outlineLevel="0" collapsed="false">
      <c r="A44" s="1" t="str">
        <f aca="false">cleaned_data!A42</f>
        <v>STR-1011</v>
      </c>
      <c r="B44" s="3" t="n">
        <f aca="false">cleaned_data!B42</f>
        <v>45658</v>
      </c>
      <c r="C44" s="1" t="str">
        <f aca="false">cleaned_data!D42</f>
        <v>Mall</v>
      </c>
      <c r="D44" s="1" t="str">
        <f aca="false">cleaned_data!C42</f>
        <v>East</v>
      </c>
      <c r="E44" s="24" t="n">
        <f aca="false">cleaned_data!M42</f>
        <v>592195.85</v>
      </c>
      <c r="F44" s="24" t="n">
        <f aca="false">multiple_regression!B343+multiple_regression!B331*cleaned_data!F42+multiple_regression!B332*cleaned_data!E42+multiple_regression!B333*cleaned_data!H42+multiple_regression!B334*cleaned_data!I42+multiple_regression!B335*cleaned_data!G42+multiple_regression!B336*cleaned_data!K42+multiple_regression!B337*dummy_variables!E45+multiple_regression!B338*dummy_variables!F45+multiple_regression!B339*dummy_variables!G45+multiple_regression!B340*dummy_variables!H45+multiple_regression!B341*dummy_variables!I45+multiple_regression!B342*dummy_variables!J45</f>
        <v>579782.18346175</v>
      </c>
      <c r="G44" s="24" t="n">
        <f aca="false">E44-F44</f>
        <v>12413.6665382504</v>
      </c>
    </row>
    <row r="45" customFormat="false" ht="15" hidden="false" customHeight="true" outlineLevel="0" collapsed="false">
      <c r="A45" s="1" t="str">
        <f aca="false">cleaned_data!A43</f>
        <v>STR-1011</v>
      </c>
      <c r="B45" s="3" t="n">
        <f aca="false">cleaned_data!B43</f>
        <v>45689</v>
      </c>
      <c r="C45" s="1" t="str">
        <f aca="false">cleaned_data!D43</f>
        <v>Mall</v>
      </c>
      <c r="D45" s="1" t="str">
        <f aca="false">cleaned_data!C43</f>
        <v>East</v>
      </c>
      <c r="E45" s="24" t="n">
        <f aca="false">cleaned_data!M43</f>
        <v>532644.46</v>
      </c>
      <c r="F45" s="24" t="n">
        <f aca="false">multiple_regression!B343+multiple_regression!B331*cleaned_data!F43+multiple_regression!B332*cleaned_data!E43+multiple_regression!B333*cleaned_data!H43+multiple_regression!B334*cleaned_data!I43+multiple_regression!B335*cleaned_data!G43+multiple_regression!B336*cleaned_data!K43+multiple_regression!B337*dummy_variables!E46+multiple_regression!B338*dummy_variables!F46+multiple_regression!B339*dummy_variables!G46+multiple_regression!B340*dummy_variables!H46+multiple_regression!B341*dummy_variables!I46+multiple_regression!B342*dummy_variables!J46</f>
        <v>514861.583697602</v>
      </c>
      <c r="G45" s="24" t="n">
        <f aca="false">E45-F45</f>
        <v>17782.8763023978</v>
      </c>
    </row>
    <row r="46" customFormat="false" ht="15" hidden="false" customHeight="true" outlineLevel="0" collapsed="false">
      <c r="A46" s="1" t="str">
        <f aca="false">cleaned_data!A44</f>
        <v>STR-1011</v>
      </c>
      <c r="B46" s="3" t="n">
        <f aca="false">cleaned_data!B44</f>
        <v>45717</v>
      </c>
      <c r="C46" s="1" t="str">
        <f aca="false">cleaned_data!D44</f>
        <v>Mall</v>
      </c>
      <c r="D46" s="1" t="str">
        <f aca="false">cleaned_data!C44</f>
        <v>East</v>
      </c>
      <c r="E46" s="24" t="n">
        <f aca="false">cleaned_data!M44</f>
        <v>657429.18</v>
      </c>
      <c r="F46" s="24" t="n">
        <f aca="false">multiple_regression!B343+multiple_regression!B331*cleaned_data!F44+multiple_regression!B332*cleaned_data!E44+multiple_regression!B333*cleaned_data!H44+multiple_regression!B334*cleaned_data!I44+multiple_regression!B335*cleaned_data!G44+multiple_regression!B336*cleaned_data!K44+multiple_regression!B337*dummy_variables!E47+multiple_regression!B338*dummy_variables!F47+multiple_regression!B339*dummy_variables!G47+multiple_regression!B340*dummy_variables!H47+multiple_regression!B341*dummy_variables!I47+multiple_regression!B342*dummy_variables!J47</f>
        <v>611767.820264741</v>
      </c>
      <c r="G46" s="24" t="n">
        <f aca="false">E46-F46</f>
        <v>45661.3597352591</v>
      </c>
    </row>
    <row r="47" customFormat="false" ht="15" hidden="false" customHeight="true" outlineLevel="0" collapsed="false">
      <c r="A47" s="1" t="str">
        <f aca="false">cleaned_data!A45</f>
        <v>STR-1011</v>
      </c>
      <c r="B47" s="3" t="n">
        <f aca="false">cleaned_data!B45</f>
        <v>45748</v>
      </c>
      <c r="C47" s="1" t="str">
        <f aca="false">cleaned_data!D45</f>
        <v>Mall</v>
      </c>
      <c r="D47" s="1" t="str">
        <f aca="false">cleaned_data!C45</f>
        <v>East</v>
      </c>
      <c r="E47" s="24" t="n">
        <f aca="false">cleaned_data!M45</f>
        <v>605178</v>
      </c>
      <c r="F47" s="24" t="n">
        <f aca="false">multiple_regression!B343+multiple_regression!B331*cleaned_data!F45+multiple_regression!B332*cleaned_data!E45+multiple_regression!B333*cleaned_data!H45+multiple_regression!B334*cleaned_data!I45+multiple_regression!B335*cleaned_data!G45+multiple_regression!B336*cleaned_data!K45+multiple_regression!B337*dummy_variables!E48+multiple_regression!B338*dummy_variables!F48+multiple_regression!B339*dummy_variables!G48+multiple_regression!B340*dummy_variables!H48+multiple_regression!B341*dummy_variables!I48+multiple_regression!B342*dummy_variables!J48</f>
        <v>600994.672527764</v>
      </c>
      <c r="G47" s="24" t="n">
        <f aca="false">E47-F47</f>
        <v>4183.32747223647</v>
      </c>
    </row>
    <row r="48" customFormat="false" ht="15" hidden="false" customHeight="true" outlineLevel="0" collapsed="false">
      <c r="A48" s="1" t="str">
        <f aca="false">cleaned_data!A46</f>
        <v>STR-1012</v>
      </c>
      <c r="B48" s="3" t="n">
        <f aca="false">cleaned_data!B46</f>
        <v>45658</v>
      </c>
      <c r="C48" s="1" t="str">
        <f aca="false">cleaned_data!D46</f>
        <v>Residential</v>
      </c>
      <c r="D48" s="1" t="str">
        <f aca="false">cleaned_data!C46</f>
        <v>West</v>
      </c>
      <c r="E48" s="24" t="n">
        <f aca="false">cleaned_data!M46</f>
        <v>595467.6</v>
      </c>
      <c r="F48" s="24" t="n">
        <f aca="false">multiple_regression!B343+multiple_regression!B331*cleaned_data!F46+multiple_regression!B332*cleaned_data!E46+multiple_regression!B333*cleaned_data!H46+multiple_regression!B334*cleaned_data!I46+multiple_regression!B335*cleaned_data!G46+multiple_regression!B336*cleaned_data!K46+multiple_regression!B337*dummy_variables!E49+multiple_regression!B338*dummy_variables!F49+multiple_regression!B339*dummy_variables!G49+multiple_regression!B340*dummy_variables!H49+multiple_regression!B341*dummy_variables!I49+multiple_regression!B342*dummy_variables!J49</f>
        <v>729837.037441351</v>
      </c>
      <c r="G48" s="24" t="n">
        <f aca="false">E48-F48</f>
        <v>-134369.437441351</v>
      </c>
    </row>
    <row r="49" customFormat="false" ht="15" hidden="false" customHeight="true" outlineLevel="0" collapsed="false">
      <c r="A49" s="1" t="str">
        <f aca="false">cleaned_data!A47</f>
        <v>STR-1012</v>
      </c>
      <c r="B49" s="3" t="n">
        <f aca="false">cleaned_data!B47</f>
        <v>45689</v>
      </c>
      <c r="C49" s="1" t="str">
        <f aca="false">cleaned_data!D47</f>
        <v>Residential</v>
      </c>
      <c r="D49" s="1" t="str">
        <f aca="false">cleaned_data!C47</f>
        <v>West</v>
      </c>
      <c r="E49" s="24" t="n">
        <f aca="false">cleaned_data!M47</f>
        <v>599603.4</v>
      </c>
      <c r="F49" s="24" t="n">
        <f aca="false">multiple_regression!B343+multiple_regression!B331*cleaned_data!F47+multiple_regression!B332*cleaned_data!E47+multiple_regression!B333*cleaned_data!H47+multiple_regression!B334*cleaned_data!I47+multiple_regression!B335*cleaned_data!G47+multiple_regression!B336*cleaned_data!K47+multiple_regression!B337*dummy_variables!E50+multiple_regression!B338*dummy_variables!F50+multiple_regression!B339*dummy_variables!G50+multiple_regression!B340*dummy_variables!H50+multiple_regression!B341*dummy_variables!I50+multiple_regression!B342*dummy_variables!J50</f>
        <v>637553.803209877</v>
      </c>
      <c r="G49" s="24" t="n">
        <f aca="false">E49-F49</f>
        <v>-37950.4032098771</v>
      </c>
    </row>
    <row r="50" customFormat="false" ht="15" hidden="false" customHeight="true" outlineLevel="0" collapsed="false">
      <c r="A50" s="1" t="str">
        <f aca="false">cleaned_data!A48</f>
        <v>STR-1012</v>
      </c>
      <c r="B50" s="3" t="n">
        <f aca="false">cleaned_data!B48</f>
        <v>45717</v>
      </c>
      <c r="C50" s="1" t="str">
        <f aca="false">cleaned_data!D48</f>
        <v>Residential</v>
      </c>
      <c r="D50" s="1" t="str">
        <f aca="false">cleaned_data!C48</f>
        <v>West</v>
      </c>
      <c r="E50" s="24" t="n">
        <f aca="false">cleaned_data!M48</f>
        <v>614800.09</v>
      </c>
      <c r="F50" s="24" t="n">
        <f aca="false">multiple_regression!B343+multiple_regression!B331*cleaned_data!F48+multiple_regression!B332*cleaned_data!E48+multiple_regression!B333*cleaned_data!H48+multiple_regression!B334*cleaned_data!I48+multiple_regression!B335*cleaned_data!G48+multiple_regression!B336*cleaned_data!K48+multiple_regression!B337*dummy_variables!E51+multiple_regression!B338*dummy_variables!F51+multiple_regression!B339*dummy_variables!G51+multiple_regression!B340*dummy_variables!H51+multiple_regression!B341*dummy_variables!I51+multiple_regression!B342*dummy_variables!J51</f>
        <v>593317.626294781</v>
      </c>
      <c r="G50" s="24" t="n">
        <f aca="false">E50-F50</f>
        <v>21482.4637052186</v>
      </c>
    </row>
    <row r="51" customFormat="false" ht="15" hidden="false" customHeight="true" outlineLevel="0" collapsed="false">
      <c r="A51" s="1" t="str">
        <f aca="false">cleaned_data!A49</f>
        <v>STR-1012</v>
      </c>
      <c r="B51" s="3" t="n">
        <f aca="false">cleaned_data!B49</f>
        <v>45748</v>
      </c>
      <c r="C51" s="1" t="str">
        <f aca="false">cleaned_data!D49</f>
        <v>Residential</v>
      </c>
      <c r="D51" s="1" t="str">
        <f aca="false">cleaned_data!C49</f>
        <v>West</v>
      </c>
      <c r="E51" s="24" t="n">
        <f aca="false">cleaned_data!M49</f>
        <v>585365.73</v>
      </c>
      <c r="F51" s="24" t="n">
        <f aca="false">multiple_regression!B343+multiple_regression!B331*cleaned_data!F49+multiple_regression!B332*cleaned_data!E49+multiple_regression!B333*cleaned_data!H49+multiple_regression!B334*cleaned_data!I49+multiple_regression!B335*cleaned_data!G49+multiple_regression!B336*cleaned_data!K49+multiple_regression!B337*dummy_variables!E52+multiple_regression!B338*dummy_variables!F52+multiple_regression!B339*dummy_variables!G52+multiple_regression!B340*dummy_variables!H52+multiple_regression!B341*dummy_variables!I52+multiple_regression!B342*dummy_variables!J52</f>
        <v>576748.830848469</v>
      </c>
      <c r="G51" s="24" t="n">
        <f aca="false">E51-F51</f>
        <v>8616.8991515307</v>
      </c>
    </row>
    <row r="52" customFormat="false" ht="15" hidden="false" customHeight="true" outlineLevel="0" collapsed="false">
      <c r="A52" s="1" t="str">
        <f aca="false">cleaned_data!A50</f>
        <v>STR-1013</v>
      </c>
      <c r="B52" s="3" t="n">
        <f aca="false">cleaned_data!B50</f>
        <v>45658</v>
      </c>
      <c r="C52" s="1" t="str">
        <f aca="false">cleaned_data!D50</f>
        <v>Mall</v>
      </c>
      <c r="D52" s="1" t="str">
        <f aca="false">cleaned_data!C50</f>
        <v>North</v>
      </c>
      <c r="E52" s="24" t="n">
        <f aca="false">cleaned_data!M50</f>
        <v>622811.74</v>
      </c>
      <c r="F52" s="24" t="n">
        <f aca="false">multiple_regression!B343+multiple_regression!B331*cleaned_data!F50+multiple_regression!B332*cleaned_data!E50+multiple_regression!B333*cleaned_data!H50+multiple_regression!B334*cleaned_data!I50+multiple_regression!B335*cleaned_data!G50+multiple_regression!B336*cleaned_data!K50+multiple_regression!B337*dummy_variables!E53+multiple_regression!B338*dummy_variables!F53+multiple_regression!B339*dummy_variables!G53+multiple_regression!B340*dummy_variables!H53+multiple_regression!B341*dummy_variables!I53+multiple_regression!B342*dummy_variables!J53</f>
        <v>662989.473539211</v>
      </c>
      <c r="G52" s="24" t="n">
        <f aca="false">E52-F52</f>
        <v>-40177.7335392108</v>
      </c>
    </row>
    <row r="53" customFormat="false" ht="15" hidden="false" customHeight="true" outlineLevel="0" collapsed="false">
      <c r="A53" s="1" t="str">
        <f aca="false">cleaned_data!A51</f>
        <v>STR-1013</v>
      </c>
      <c r="B53" s="3" t="n">
        <f aca="false">cleaned_data!B51</f>
        <v>45689</v>
      </c>
      <c r="C53" s="1" t="str">
        <f aca="false">cleaned_data!D51</f>
        <v>Mall</v>
      </c>
      <c r="D53" s="1" t="str">
        <f aca="false">cleaned_data!C51</f>
        <v>North</v>
      </c>
      <c r="E53" s="24" t="n">
        <f aca="false">cleaned_data!M51</f>
        <v>603297.57</v>
      </c>
      <c r="F53" s="24" t="n">
        <f aca="false">multiple_regression!B343+multiple_regression!B331*cleaned_data!F51+multiple_regression!B332*cleaned_data!E51+multiple_regression!B333*cleaned_data!H51+multiple_regression!B334*cleaned_data!I51+multiple_regression!B335*cleaned_data!G51+multiple_regression!B336*cleaned_data!K51+multiple_regression!B337*dummy_variables!E54+multiple_regression!B338*dummy_variables!F54+multiple_regression!B339*dummy_variables!G54+multiple_regression!B340*dummy_variables!H54+multiple_regression!B341*dummy_variables!I54+multiple_regression!B342*dummy_variables!J54</f>
        <v>587015.097127779</v>
      </c>
      <c r="G53" s="24" t="n">
        <f aca="false">E53-F53</f>
        <v>16282.4728722209</v>
      </c>
    </row>
    <row r="54" customFormat="false" ht="15" hidden="false" customHeight="true" outlineLevel="0" collapsed="false">
      <c r="A54" s="1" t="str">
        <f aca="false">cleaned_data!A52</f>
        <v>STR-1013</v>
      </c>
      <c r="B54" s="3" t="n">
        <f aca="false">cleaned_data!B52</f>
        <v>45717</v>
      </c>
      <c r="C54" s="1" t="str">
        <f aca="false">cleaned_data!D52</f>
        <v>Mall</v>
      </c>
      <c r="D54" s="1" t="str">
        <f aca="false">cleaned_data!C52</f>
        <v>North</v>
      </c>
      <c r="E54" s="24" t="n">
        <f aca="false">cleaned_data!M52</f>
        <v>625672.86</v>
      </c>
      <c r="F54" s="24" t="n">
        <f aca="false">multiple_regression!B343+multiple_regression!B331*cleaned_data!F52+multiple_regression!B332*cleaned_data!E52+multiple_regression!B333*cleaned_data!H52+multiple_regression!B334*cleaned_data!I52+multiple_regression!B335*cleaned_data!G52+multiple_regression!B336*cleaned_data!K52+multiple_regression!B337*dummy_variables!E55+multiple_regression!B338*dummy_variables!F55+multiple_regression!B339*dummy_variables!G55+multiple_regression!B340*dummy_variables!H55+multiple_regression!B341*dummy_variables!I55+multiple_regression!B342*dummy_variables!J55</f>
        <v>606837.054018989</v>
      </c>
      <c r="G54" s="24" t="n">
        <f aca="false">E54-F54</f>
        <v>18835.8059810111</v>
      </c>
    </row>
    <row r="55" customFormat="false" ht="15" hidden="false" customHeight="true" outlineLevel="0" collapsed="false">
      <c r="A55" s="1" t="str">
        <f aca="false">cleaned_data!A53</f>
        <v>STR-1013</v>
      </c>
      <c r="B55" s="3" t="n">
        <f aca="false">cleaned_data!B53</f>
        <v>45748</v>
      </c>
      <c r="C55" s="1" t="str">
        <f aca="false">cleaned_data!D53</f>
        <v>Mall</v>
      </c>
      <c r="D55" s="1" t="str">
        <f aca="false">cleaned_data!C53</f>
        <v>North</v>
      </c>
      <c r="E55" s="24" t="n">
        <f aca="false">cleaned_data!M53</f>
        <v>773815.14</v>
      </c>
      <c r="F55" s="24" t="n">
        <f aca="false">multiple_regression!B343+multiple_regression!B331*cleaned_data!F53+multiple_regression!B332*cleaned_data!E53+multiple_regression!B333*cleaned_data!H53+multiple_regression!B334*cleaned_data!I53+multiple_regression!B335*cleaned_data!G53+multiple_regression!B336*cleaned_data!K53+multiple_regression!B337*dummy_variables!E56+multiple_regression!B338*dummy_variables!F56+multiple_regression!B339*dummy_variables!G56+multiple_regression!B340*dummy_variables!H56+multiple_regression!B341*dummy_variables!I56+multiple_regression!B342*dummy_variables!J56</f>
        <v>742993.30024226</v>
      </c>
      <c r="G55" s="24" t="n">
        <f aca="false">E55-F55</f>
        <v>30821.8397577396</v>
      </c>
    </row>
    <row r="56" customFormat="false" ht="15" hidden="false" customHeight="true" outlineLevel="0" collapsed="false">
      <c r="A56" s="1" t="str">
        <f aca="false">cleaned_data!A54</f>
        <v>STR-1014</v>
      </c>
      <c r="B56" s="3" t="n">
        <f aca="false">cleaned_data!B54</f>
        <v>45658</v>
      </c>
      <c r="C56" s="1" t="str">
        <f aca="false">cleaned_data!D54</f>
        <v>High Street</v>
      </c>
      <c r="D56" s="1" t="str">
        <f aca="false">cleaned_data!C54</f>
        <v>West</v>
      </c>
      <c r="E56" s="24" t="n">
        <f aca="false">cleaned_data!M54</f>
        <v>463534.25</v>
      </c>
      <c r="F56" s="24" t="n">
        <f aca="false">multiple_regression!B343+multiple_regression!B331*cleaned_data!F54+multiple_regression!B332*cleaned_data!E54+multiple_regression!B333*cleaned_data!H54+multiple_regression!B334*cleaned_data!I54+multiple_regression!B335*cleaned_data!G54+multiple_regression!B336*cleaned_data!K54+multiple_regression!B337*dummy_variables!E57+multiple_regression!B338*dummy_variables!F57+multiple_regression!B339*dummy_variables!G57+multiple_regression!B340*dummy_variables!H57+multiple_regression!B341*dummy_variables!I57+multiple_regression!B342*dummy_variables!J57</f>
        <v>559002.201390744</v>
      </c>
      <c r="G56" s="24" t="n">
        <f aca="false">E56-F56</f>
        <v>-95467.9513907441</v>
      </c>
    </row>
    <row r="57" customFormat="false" ht="15" hidden="false" customHeight="true" outlineLevel="0" collapsed="false">
      <c r="A57" s="1" t="str">
        <f aca="false">cleaned_data!A55</f>
        <v>STR-1014</v>
      </c>
      <c r="B57" s="3" t="n">
        <f aca="false">cleaned_data!B55</f>
        <v>45689</v>
      </c>
      <c r="C57" s="1" t="str">
        <f aca="false">cleaned_data!D55</f>
        <v>High Street</v>
      </c>
      <c r="D57" s="1" t="str">
        <f aca="false">cleaned_data!C55</f>
        <v>West</v>
      </c>
      <c r="E57" s="24" t="n">
        <f aca="false">cleaned_data!M55</f>
        <v>746677.75</v>
      </c>
      <c r="F57" s="24" t="n">
        <f aca="false">multiple_regression!B343+multiple_regression!B331*cleaned_data!F55+multiple_regression!B332*cleaned_data!E55+multiple_regression!B333*cleaned_data!H55+multiple_regression!B334*cleaned_data!I55+multiple_regression!B335*cleaned_data!G55+multiple_regression!B336*cleaned_data!K55+multiple_regression!B337*dummy_variables!E58+multiple_regression!B338*dummy_variables!F58+multiple_regression!B339*dummy_variables!G58+multiple_regression!B340*dummy_variables!H58+multiple_regression!B341*dummy_variables!I58+multiple_regression!B342*dummy_variables!J58</f>
        <v>705864.414478102</v>
      </c>
      <c r="G57" s="24" t="n">
        <f aca="false">E57-F57</f>
        <v>40813.335521898</v>
      </c>
    </row>
    <row r="58" customFormat="false" ht="15" hidden="false" customHeight="true" outlineLevel="0" collapsed="false">
      <c r="A58" s="1" t="str">
        <f aca="false">cleaned_data!A56</f>
        <v>STR-1014</v>
      </c>
      <c r="B58" s="3" t="n">
        <f aca="false">cleaned_data!B56</f>
        <v>45717</v>
      </c>
      <c r="C58" s="1" t="str">
        <f aca="false">cleaned_data!D56</f>
        <v>High Street</v>
      </c>
      <c r="D58" s="1" t="str">
        <f aca="false">cleaned_data!C56</f>
        <v>West</v>
      </c>
      <c r="E58" s="24" t="n">
        <f aca="false">cleaned_data!M56</f>
        <v>720852.5</v>
      </c>
      <c r="F58" s="24" t="n">
        <f aca="false">multiple_regression!B343+multiple_regression!B331*cleaned_data!F56+multiple_regression!B332*cleaned_data!E56+multiple_regression!B333*cleaned_data!H56+multiple_regression!B334*cleaned_data!I56+multiple_regression!B335*cleaned_data!G56+multiple_regression!B336*cleaned_data!K56+multiple_regression!B337*dummy_variables!E59+multiple_regression!B338*dummy_variables!F59+multiple_regression!B339*dummy_variables!G59+multiple_regression!B340*dummy_variables!H59+multiple_regression!B341*dummy_variables!I59+multiple_regression!B342*dummy_variables!J59</f>
        <v>679560.46466907</v>
      </c>
      <c r="G58" s="24" t="n">
        <f aca="false">E58-F58</f>
        <v>41292.0353309301</v>
      </c>
    </row>
    <row r="59" customFormat="false" ht="15" hidden="false" customHeight="true" outlineLevel="0" collapsed="false">
      <c r="A59" s="1" t="str">
        <f aca="false">cleaned_data!A57</f>
        <v>STR-1014</v>
      </c>
      <c r="B59" s="3" t="n">
        <f aca="false">cleaned_data!B57</f>
        <v>45748</v>
      </c>
      <c r="C59" s="1" t="str">
        <f aca="false">cleaned_data!D57</f>
        <v>High Street</v>
      </c>
      <c r="D59" s="1" t="str">
        <f aca="false">cleaned_data!C57</f>
        <v>West</v>
      </c>
      <c r="E59" s="24" t="n">
        <f aca="false">cleaned_data!M57</f>
        <v>487464.91</v>
      </c>
      <c r="F59" s="24" t="n">
        <f aca="false">multiple_regression!B343+multiple_regression!B331*cleaned_data!F57+multiple_regression!B332*cleaned_data!E57+multiple_regression!B333*cleaned_data!H57+multiple_regression!B334*cleaned_data!I57+multiple_regression!B335*cleaned_data!G57+multiple_regression!B336*cleaned_data!K57+multiple_regression!B337*dummy_variables!E60+multiple_regression!B338*dummy_variables!F60+multiple_regression!B339*dummy_variables!G60+multiple_regression!B340*dummy_variables!H60+multiple_regression!B341*dummy_variables!I60+multiple_regression!B342*dummy_variables!J60</f>
        <v>545871.343588824</v>
      </c>
      <c r="G59" s="24" t="n">
        <f aca="false">E59-F59</f>
        <v>-58406.4335888243</v>
      </c>
    </row>
    <row r="60" customFormat="false" ht="15" hidden="false" customHeight="true" outlineLevel="0" collapsed="false">
      <c r="A60" s="1" t="str">
        <f aca="false">cleaned_data!A58</f>
        <v>STR-1015</v>
      </c>
      <c r="B60" s="3" t="n">
        <f aca="false">cleaned_data!B58</f>
        <v>45658</v>
      </c>
      <c r="C60" s="1" t="str">
        <f aca="false">cleaned_data!D58</f>
        <v>Airport</v>
      </c>
      <c r="D60" s="1" t="str">
        <f aca="false">cleaned_data!C58</f>
        <v>East</v>
      </c>
      <c r="E60" s="24" t="n">
        <f aca="false">cleaned_data!M58</f>
        <v>518049.26</v>
      </c>
      <c r="F60" s="24" t="n">
        <f aca="false">multiple_regression!B343+multiple_regression!B331*cleaned_data!F58+multiple_regression!B332*cleaned_data!E58+multiple_regression!B333*cleaned_data!H58+multiple_regression!B334*cleaned_data!I58+multiple_regression!B335*cleaned_data!G58+multiple_regression!B336*cleaned_data!K58+multiple_regression!B337*dummy_variables!E61+multiple_regression!B338*dummy_variables!F61+multiple_regression!B339*dummy_variables!G61+multiple_regression!B340*dummy_variables!H61+multiple_regression!B341*dummy_variables!I61+multiple_regression!B342*dummy_variables!J61</f>
        <v>541483.589249518</v>
      </c>
      <c r="G60" s="24" t="n">
        <f aca="false">E60-F60</f>
        <v>-23434.3292495182</v>
      </c>
    </row>
    <row r="61" customFormat="false" ht="15" hidden="false" customHeight="true" outlineLevel="0" collapsed="false">
      <c r="A61" s="1" t="str">
        <f aca="false">cleaned_data!A59</f>
        <v>STR-1015</v>
      </c>
      <c r="B61" s="3" t="n">
        <f aca="false">cleaned_data!B59</f>
        <v>45689</v>
      </c>
      <c r="C61" s="1" t="str">
        <f aca="false">cleaned_data!D59</f>
        <v>Airport</v>
      </c>
      <c r="D61" s="1" t="str">
        <f aca="false">cleaned_data!C59</f>
        <v>East</v>
      </c>
      <c r="E61" s="24" t="n">
        <f aca="false">cleaned_data!M59</f>
        <v>500298.48</v>
      </c>
      <c r="F61" s="24" t="n">
        <f aca="false">multiple_regression!B343+multiple_regression!B331*cleaned_data!F59+multiple_regression!B332*cleaned_data!E59+multiple_regression!B333*cleaned_data!H59+multiple_regression!B334*cleaned_data!I59+multiple_regression!B335*cleaned_data!G59+multiple_regression!B336*cleaned_data!K59+multiple_regression!B337*dummy_variables!E62+multiple_regression!B338*dummy_variables!F62+multiple_regression!B339*dummy_variables!G62+multiple_regression!B340*dummy_variables!H62+multiple_regression!B341*dummy_variables!I62+multiple_regression!B342*dummy_variables!J62</f>
        <v>532593.303438069</v>
      </c>
      <c r="G61" s="24" t="n">
        <f aca="false">E61-F61</f>
        <v>-32294.8234380687</v>
      </c>
    </row>
    <row r="62" customFormat="false" ht="15" hidden="false" customHeight="true" outlineLevel="0" collapsed="false">
      <c r="A62" s="1" t="str">
        <f aca="false">cleaned_data!A60</f>
        <v>STR-1015</v>
      </c>
      <c r="B62" s="3" t="n">
        <f aca="false">cleaned_data!B60</f>
        <v>45717</v>
      </c>
      <c r="C62" s="1" t="str">
        <f aca="false">cleaned_data!D60</f>
        <v>Airport</v>
      </c>
      <c r="D62" s="1" t="str">
        <f aca="false">cleaned_data!C60</f>
        <v>East</v>
      </c>
      <c r="E62" s="24" t="n">
        <f aca="false">cleaned_data!M60</f>
        <v>617291.15</v>
      </c>
      <c r="F62" s="24" t="n">
        <f aca="false">multiple_regression!B343+multiple_regression!B331*cleaned_data!F60+multiple_regression!B332*cleaned_data!E60+multiple_regression!B333*cleaned_data!H60+multiple_regression!B334*cleaned_data!I60+multiple_regression!B335*cleaned_data!G60+multiple_regression!B336*cleaned_data!K60+multiple_regression!B337*dummy_variables!E63+multiple_regression!B338*dummy_variables!F63+multiple_regression!B339*dummy_variables!G63+multiple_regression!B340*dummy_variables!H63+multiple_regression!B341*dummy_variables!I63+multiple_regression!B342*dummy_variables!J63</f>
        <v>669233.832014919</v>
      </c>
      <c r="G62" s="24" t="n">
        <f aca="false">E62-F62</f>
        <v>-51942.6820149192</v>
      </c>
    </row>
    <row r="63" customFormat="false" ht="15" hidden="false" customHeight="true" outlineLevel="0" collapsed="false">
      <c r="A63" s="1" t="str">
        <f aca="false">cleaned_data!A61</f>
        <v>STR-1015</v>
      </c>
      <c r="B63" s="3" t="n">
        <f aca="false">cleaned_data!B61</f>
        <v>45748</v>
      </c>
      <c r="C63" s="1" t="str">
        <f aca="false">cleaned_data!D61</f>
        <v>Airport</v>
      </c>
      <c r="D63" s="1" t="str">
        <f aca="false">cleaned_data!C61</f>
        <v>East</v>
      </c>
      <c r="E63" s="24" t="n">
        <f aca="false">cleaned_data!M61</f>
        <v>553756.43</v>
      </c>
      <c r="F63" s="24" t="n">
        <f aca="false">multiple_regression!B343+multiple_regression!B331*cleaned_data!F61+multiple_regression!B332*cleaned_data!E61+multiple_regression!B333*cleaned_data!H61+multiple_regression!B334*cleaned_data!I61+multiple_regression!B335*cleaned_data!G61+multiple_regression!B336*cleaned_data!K61+multiple_regression!B337*dummy_variables!E64+multiple_regression!B338*dummy_variables!F64+multiple_regression!B339*dummy_variables!G64+multiple_regression!B340*dummy_variables!H64+multiple_regression!B341*dummy_variables!I64+multiple_regression!B342*dummy_variables!J64</f>
        <v>618885.466181359</v>
      </c>
      <c r="G63" s="24" t="n">
        <f aca="false">E63-F63</f>
        <v>-65129.0361813587</v>
      </c>
    </row>
    <row r="64" customFormat="false" ht="15" hidden="false" customHeight="true" outlineLevel="0" collapsed="false">
      <c r="A64" s="1" t="str">
        <f aca="false">cleaned_data!A62</f>
        <v>STR-1016</v>
      </c>
      <c r="B64" s="3" t="n">
        <f aca="false">cleaned_data!B62</f>
        <v>45658</v>
      </c>
      <c r="C64" s="1" t="str">
        <f aca="false">cleaned_data!D62</f>
        <v>High Street</v>
      </c>
      <c r="D64" s="1" t="str">
        <f aca="false">cleaned_data!C62</f>
        <v>South</v>
      </c>
      <c r="E64" s="24" t="n">
        <f aca="false">cleaned_data!M62</f>
        <v>749559.71</v>
      </c>
      <c r="F64" s="24" t="n">
        <f aca="false">multiple_regression!B343+multiple_regression!B331*cleaned_data!F62+multiple_regression!B332*cleaned_data!E62+multiple_regression!B333*cleaned_data!H62+multiple_regression!B334*cleaned_data!I62+multiple_regression!B335*cleaned_data!G62+multiple_regression!B336*cleaned_data!K62+multiple_regression!B337*dummy_variables!E65+multiple_regression!B338*dummy_variables!F65+multiple_regression!B339*dummy_variables!G65+multiple_regression!B340*dummy_variables!H65+multiple_regression!B341*dummy_variables!I65+multiple_regression!B342*dummy_variables!J65</f>
        <v>697575.249646896</v>
      </c>
      <c r="G64" s="24" t="n">
        <f aca="false">E64-F64</f>
        <v>51984.4603531036</v>
      </c>
    </row>
    <row r="65" customFormat="false" ht="15" hidden="false" customHeight="true" outlineLevel="0" collapsed="false">
      <c r="A65" s="1" t="str">
        <f aca="false">cleaned_data!A63</f>
        <v>STR-1016</v>
      </c>
      <c r="B65" s="3" t="n">
        <f aca="false">cleaned_data!B63</f>
        <v>45689</v>
      </c>
      <c r="C65" s="1" t="str">
        <f aca="false">cleaned_data!D63</f>
        <v>High Street</v>
      </c>
      <c r="D65" s="1" t="str">
        <f aca="false">cleaned_data!C63</f>
        <v>South</v>
      </c>
      <c r="E65" s="24" t="n">
        <f aca="false">cleaned_data!M63</f>
        <v>615966.48</v>
      </c>
      <c r="F65" s="24" t="n">
        <f aca="false">multiple_regression!B343+multiple_regression!B331*cleaned_data!F63+multiple_regression!B332*cleaned_data!E63+multiple_regression!B333*cleaned_data!H63+multiple_regression!B334*cleaned_data!I63+multiple_regression!B335*cleaned_data!G63+multiple_regression!B336*cleaned_data!K63+multiple_regression!B337*dummy_variables!E66+multiple_regression!B338*dummy_variables!F66+multiple_regression!B339*dummy_variables!G66+multiple_regression!B340*dummy_variables!H66+multiple_regression!B341*dummy_variables!I66+multiple_regression!B342*dummy_variables!J66</f>
        <v>575264.744181805</v>
      </c>
      <c r="G65" s="24" t="n">
        <f aca="false">E65-F65</f>
        <v>40701.735818195</v>
      </c>
    </row>
    <row r="66" customFormat="false" ht="15" hidden="false" customHeight="true" outlineLevel="0" collapsed="false">
      <c r="A66" s="1" t="str">
        <f aca="false">cleaned_data!A64</f>
        <v>STR-1016</v>
      </c>
      <c r="B66" s="3" t="n">
        <f aca="false">cleaned_data!B64</f>
        <v>45717</v>
      </c>
      <c r="C66" s="1" t="str">
        <f aca="false">cleaned_data!D64</f>
        <v>High Street</v>
      </c>
      <c r="D66" s="1" t="str">
        <f aca="false">cleaned_data!C64</f>
        <v>South</v>
      </c>
      <c r="E66" s="24" t="n">
        <f aca="false">cleaned_data!M64</f>
        <v>572011.2</v>
      </c>
      <c r="F66" s="24" t="n">
        <f aca="false">multiple_regression!B343+multiple_regression!B331*cleaned_data!F64+multiple_regression!B332*cleaned_data!E64+multiple_regression!B333*cleaned_data!H64+multiple_regression!B334*cleaned_data!I64+multiple_regression!B335*cleaned_data!G64+multiple_regression!B336*cleaned_data!K64+multiple_regression!B337*dummy_variables!E67+multiple_regression!B338*dummy_variables!F67+multiple_regression!B339*dummy_variables!G67+multiple_regression!B340*dummy_variables!H67+multiple_regression!B341*dummy_variables!I67+multiple_regression!B342*dummy_variables!J67</f>
        <v>583669.045215406</v>
      </c>
      <c r="G66" s="24" t="n">
        <f aca="false">E66-F66</f>
        <v>-11657.8452154059</v>
      </c>
    </row>
    <row r="67" customFormat="false" ht="15" hidden="false" customHeight="true" outlineLevel="0" collapsed="false">
      <c r="A67" s="1" t="str">
        <f aca="false">cleaned_data!A65</f>
        <v>STR-1016</v>
      </c>
      <c r="B67" s="3" t="n">
        <f aca="false">cleaned_data!B65</f>
        <v>45748</v>
      </c>
      <c r="C67" s="1" t="str">
        <f aca="false">cleaned_data!D65</f>
        <v>High Street</v>
      </c>
      <c r="D67" s="1" t="str">
        <f aca="false">cleaned_data!C65</f>
        <v>South</v>
      </c>
      <c r="E67" s="24" t="n">
        <f aca="false">cleaned_data!M65</f>
        <v>761860.19</v>
      </c>
      <c r="F67" s="24" t="n">
        <f aca="false">multiple_regression!B343+multiple_regression!B331*cleaned_data!F65+multiple_regression!B332*cleaned_data!E65+multiple_regression!B333*cleaned_data!H65+multiple_regression!B334*cleaned_data!I65+multiple_regression!B335*cleaned_data!G65+multiple_regression!B336*cleaned_data!K65+multiple_regression!B337*dummy_variables!E68+multiple_regression!B338*dummy_variables!F68+multiple_regression!B339*dummy_variables!G68+multiple_regression!B340*dummy_variables!H68+multiple_regression!B341*dummy_variables!I68+multiple_regression!B342*dummy_variables!J68</f>
        <v>724187.400818008</v>
      </c>
      <c r="G67" s="24" t="n">
        <f aca="false">E67-F67</f>
        <v>37672.7891819918</v>
      </c>
    </row>
    <row r="68" customFormat="false" ht="15" hidden="false" customHeight="true" outlineLevel="0" collapsed="false">
      <c r="A68" s="1" t="str">
        <f aca="false">cleaned_data!A66</f>
        <v>STR-1017</v>
      </c>
      <c r="B68" s="3" t="n">
        <f aca="false">cleaned_data!B66</f>
        <v>45658</v>
      </c>
      <c r="C68" s="1" t="str">
        <f aca="false">cleaned_data!D66</f>
        <v>High Street</v>
      </c>
      <c r="D68" s="1" t="str">
        <f aca="false">cleaned_data!C66</f>
        <v>West</v>
      </c>
      <c r="E68" s="24" t="n">
        <f aca="false">cleaned_data!M66</f>
        <v>784502.68</v>
      </c>
      <c r="F68" s="24" t="n">
        <f aca="false">multiple_regression!B343+multiple_regression!B331*cleaned_data!F66+multiple_regression!B332*cleaned_data!E66+multiple_regression!B333*cleaned_data!H66+multiple_regression!B334*cleaned_data!I66+multiple_regression!B335*cleaned_data!G66+multiple_regression!B336*cleaned_data!K66+multiple_regression!B337*dummy_variables!E69+multiple_regression!B338*dummy_variables!F69+multiple_regression!B339*dummy_variables!G69+multiple_regression!B340*dummy_variables!H69+multiple_regression!B341*dummy_variables!I69+multiple_regression!B342*dummy_variables!J69</f>
        <v>833985.66057985</v>
      </c>
      <c r="G68" s="24" t="n">
        <f aca="false">E68-F68</f>
        <v>-49482.9805798499</v>
      </c>
    </row>
    <row r="69" customFormat="false" ht="15" hidden="false" customHeight="true" outlineLevel="0" collapsed="false">
      <c r="A69" s="1" t="str">
        <f aca="false">cleaned_data!A67</f>
        <v>STR-1017</v>
      </c>
      <c r="B69" s="3" t="n">
        <f aca="false">cleaned_data!B67</f>
        <v>45689</v>
      </c>
      <c r="C69" s="1" t="str">
        <f aca="false">cleaned_data!D67</f>
        <v>High Street</v>
      </c>
      <c r="D69" s="1" t="str">
        <f aca="false">cleaned_data!C67</f>
        <v>West</v>
      </c>
      <c r="E69" s="24" t="n">
        <f aca="false">cleaned_data!M67</f>
        <v>717141.55</v>
      </c>
      <c r="F69" s="24" t="n">
        <f aca="false">multiple_regression!B343+multiple_regression!B331*cleaned_data!F67+multiple_regression!B332*cleaned_data!E67+multiple_regression!B333*cleaned_data!H67+multiple_regression!B334*cleaned_data!I67+multiple_regression!B335*cleaned_data!G67+multiple_regression!B336*cleaned_data!K67+multiple_regression!B337*dummy_variables!E70+multiple_regression!B338*dummy_variables!F70+multiple_regression!B339*dummy_variables!G70+multiple_regression!B340*dummy_variables!H70+multiple_regression!B341*dummy_variables!I70+multiple_regression!B342*dummy_variables!J70</f>
        <v>738407.430057943</v>
      </c>
      <c r="G69" s="24" t="n">
        <f aca="false">E69-F69</f>
        <v>-21265.8800579434</v>
      </c>
    </row>
    <row r="70" customFormat="false" ht="15" hidden="false" customHeight="true" outlineLevel="0" collapsed="false">
      <c r="A70" s="1" t="str">
        <f aca="false">cleaned_data!A68</f>
        <v>STR-1017</v>
      </c>
      <c r="B70" s="3" t="n">
        <f aca="false">cleaned_data!B68</f>
        <v>45717</v>
      </c>
      <c r="C70" s="1" t="str">
        <f aca="false">cleaned_data!D68</f>
        <v>High Street</v>
      </c>
      <c r="D70" s="1" t="str">
        <f aca="false">cleaned_data!C68</f>
        <v>West</v>
      </c>
      <c r="E70" s="24" t="n">
        <f aca="false">cleaned_data!M68</f>
        <v>685379.08</v>
      </c>
      <c r="F70" s="24" t="n">
        <f aca="false">multiple_regression!B343+multiple_regression!B331*cleaned_data!F68+multiple_regression!B332*cleaned_data!E68+multiple_regression!B333*cleaned_data!H68+multiple_regression!B334*cleaned_data!I68+multiple_regression!B335*cleaned_data!G68+multiple_regression!B336*cleaned_data!K68+multiple_regression!B337*dummy_variables!E71+multiple_regression!B338*dummy_variables!F71+multiple_regression!B339*dummy_variables!G71+multiple_regression!B340*dummy_variables!H71+multiple_regression!B341*dummy_variables!I71+multiple_regression!B342*dummy_variables!J71</f>
        <v>860407.198237806</v>
      </c>
      <c r="G70" s="24" t="n">
        <f aca="false">E70-F70</f>
        <v>-175028.118237806</v>
      </c>
    </row>
    <row r="71" customFormat="false" ht="15" hidden="false" customHeight="true" outlineLevel="0" collapsed="false">
      <c r="A71" s="1" t="str">
        <f aca="false">cleaned_data!A69</f>
        <v>STR-1017</v>
      </c>
      <c r="B71" s="3" t="n">
        <f aca="false">cleaned_data!B69</f>
        <v>45748</v>
      </c>
      <c r="C71" s="1" t="str">
        <f aca="false">cleaned_data!D69</f>
        <v>High Street</v>
      </c>
      <c r="D71" s="1" t="str">
        <f aca="false">cleaned_data!C69</f>
        <v>West</v>
      </c>
      <c r="E71" s="24" t="n">
        <f aca="false">cleaned_data!M69</f>
        <v>740496.65</v>
      </c>
      <c r="F71" s="24" t="n">
        <f aca="false">multiple_regression!B343+multiple_regression!B331*cleaned_data!F69+multiple_regression!B332*cleaned_data!E69+multiple_regression!B333*cleaned_data!H69+multiple_regression!B334*cleaned_data!I69+multiple_regression!B335*cleaned_data!G69+multiple_regression!B336*cleaned_data!K69+multiple_regression!B337*dummy_variables!E72+multiple_regression!B338*dummy_variables!F72+multiple_regression!B339*dummy_variables!G72+multiple_regression!B340*dummy_variables!H72+multiple_regression!B341*dummy_variables!I72+multiple_regression!B342*dummy_variables!J72</f>
        <v>732297.411978984</v>
      </c>
      <c r="G71" s="24" t="n">
        <f aca="false">E71-F71</f>
        <v>8199.23802101589</v>
      </c>
    </row>
    <row r="72" customFormat="false" ht="15" hidden="false" customHeight="true" outlineLevel="0" collapsed="false">
      <c r="A72" s="1" t="str">
        <f aca="false">cleaned_data!A70</f>
        <v>STR-1018</v>
      </c>
      <c r="B72" s="3" t="n">
        <f aca="false">cleaned_data!B70</f>
        <v>45658</v>
      </c>
      <c r="C72" s="1" t="str">
        <f aca="false">cleaned_data!D70</f>
        <v>High Street</v>
      </c>
      <c r="D72" s="1" t="str">
        <f aca="false">cleaned_data!C70</f>
        <v>East</v>
      </c>
      <c r="E72" s="24" t="n">
        <f aca="false">cleaned_data!M70</f>
        <v>661927.14</v>
      </c>
      <c r="F72" s="24" t="n">
        <f aca="false">multiple_regression!B343+multiple_regression!B331*cleaned_data!F70+multiple_regression!B332*cleaned_data!E70+multiple_regression!B333*cleaned_data!H70+multiple_regression!B334*cleaned_data!I70+multiple_regression!B335*cleaned_data!G70+multiple_regression!B336*cleaned_data!K70+multiple_regression!B337*dummy_variables!E73+multiple_regression!B338*dummy_variables!F73+multiple_regression!B339*dummy_variables!G73+multiple_regression!B340*dummy_variables!H73+multiple_regression!B341*dummy_variables!I73+multiple_regression!B342*dummy_variables!J73</f>
        <v>602187.479845118</v>
      </c>
      <c r="G72" s="24" t="n">
        <f aca="false">E72-F72</f>
        <v>59739.6601548824</v>
      </c>
    </row>
    <row r="73" customFormat="false" ht="15" hidden="false" customHeight="true" outlineLevel="0" collapsed="false">
      <c r="A73" s="1" t="str">
        <f aca="false">cleaned_data!A71</f>
        <v>STR-1018</v>
      </c>
      <c r="B73" s="3" t="n">
        <f aca="false">cleaned_data!B71</f>
        <v>45689</v>
      </c>
      <c r="C73" s="1" t="str">
        <f aca="false">cleaned_data!D71</f>
        <v>High Street</v>
      </c>
      <c r="D73" s="1" t="str">
        <f aca="false">cleaned_data!C71</f>
        <v>East</v>
      </c>
      <c r="E73" s="24" t="n">
        <f aca="false">cleaned_data!M71</f>
        <v>479050.5</v>
      </c>
      <c r="F73" s="24" t="n">
        <f aca="false">multiple_regression!B343+multiple_regression!B331*cleaned_data!F71+multiple_regression!B332*cleaned_data!E71+multiple_regression!B333*cleaned_data!H71+multiple_regression!B334*cleaned_data!I71+multiple_regression!B335*cleaned_data!G71+multiple_regression!B336*cleaned_data!K71+multiple_regression!B337*dummy_variables!E74+multiple_regression!B338*dummy_variables!F74+multiple_regression!B339*dummy_variables!G74+multiple_regression!B340*dummy_variables!H74+multiple_regression!B341*dummy_variables!I74+multiple_regression!B342*dummy_variables!J74</f>
        <v>501299.250221446</v>
      </c>
      <c r="G73" s="24" t="n">
        <f aca="false">E73-F73</f>
        <v>-22248.7502214456</v>
      </c>
    </row>
    <row r="74" customFormat="false" ht="15" hidden="false" customHeight="true" outlineLevel="0" collapsed="false">
      <c r="A74" s="1" t="str">
        <f aca="false">cleaned_data!A72</f>
        <v>STR-1018</v>
      </c>
      <c r="B74" s="3" t="n">
        <f aca="false">cleaned_data!B72</f>
        <v>45717</v>
      </c>
      <c r="C74" s="1" t="str">
        <f aca="false">cleaned_data!D72</f>
        <v>High Street</v>
      </c>
      <c r="D74" s="1" t="str">
        <f aca="false">cleaned_data!C72</f>
        <v>East</v>
      </c>
      <c r="E74" s="24" t="n">
        <f aca="false">cleaned_data!M72</f>
        <v>605023.87</v>
      </c>
      <c r="F74" s="24" t="n">
        <f aca="false">multiple_regression!B343+multiple_regression!B331*cleaned_data!F72+multiple_regression!B332*cleaned_data!E72+multiple_regression!B333*cleaned_data!H72+multiple_regression!B334*cleaned_data!I72+multiple_regression!B335*cleaned_data!G72+multiple_regression!B336*cleaned_data!K72+multiple_regression!B337*dummy_variables!E75+multiple_regression!B338*dummy_variables!F75+multiple_regression!B339*dummy_variables!G75+multiple_regression!B340*dummy_variables!H75+multiple_regression!B341*dummy_variables!I75+multiple_regression!B342*dummy_variables!J75</f>
        <v>578535.679636222</v>
      </c>
      <c r="G74" s="24" t="n">
        <f aca="false">E74-F74</f>
        <v>26488.1903637778</v>
      </c>
    </row>
    <row r="75" customFormat="false" ht="15" hidden="false" customHeight="true" outlineLevel="0" collapsed="false">
      <c r="A75" s="1" t="str">
        <f aca="false">cleaned_data!A73</f>
        <v>STR-1018</v>
      </c>
      <c r="B75" s="3" t="n">
        <f aca="false">cleaned_data!B73</f>
        <v>45748</v>
      </c>
      <c r="C75" s="1" t="str">
        <f aca="false">cleaned_data!D73</f>
        <v>High Street</v>
      </c>
      <c r="D75" s="1" t="str">
        <f aca="false">cleaned_data!C73</f>
        <v>East</v>
      </c>
      <c r="E75" s="24" t="n">
        <f aca="false">cleaned_data!M73</f>
        <v>674774.09</v>
      </c>
      <c r="F75" s="24" t="n">
        <f aca="false">multiple_regression!B343+multiple_regression!B331*cleaned_data!F73+multiple_regression!B332*cleaned_data!E73+multiple_regression!B333*cleaned_data!H73+multiple_regression!B334*cleaned_data!I73+multiple_regression!B335*cleaned_data!G73+multiple_regression!B336*cleaned_data!K73+multiple_regression!B337*dummy_variables!E76+multiple_regression!B338*dummy_variables!F76+multiple_regression!B339*dummy_variables!G76+multiple_regression!B340*dummy_variables!H76+multiple_regression!B341*dummy_variables!I76+multiple_regression!B342*dummy_variables!J76</f>
        <v>626143.487762382</v>
      </c>
      <c r="G75" s="24" t="n">
        <f aca="false">E75-F75</f>
        <v>48630.6022376179</v>
      </c>
    </row>
    <row r="76" customFormat="false" ht="15" hidden="false" customHeight="true" outlineLevel="0" collapsed="false">
      <c r="A76" s="1" t="str">
        <f aca="false">cleaned_data!A74</f>
        <v>STR-1019</v>
      </c>
      <c r="B76" s="3" t="n">
        <f aca="false">cleaned_data!B74</f>
        <v>45658</v>
      </c>
      <c r="C76" s="1" t="str">
        <f aca="false">cleaned_data!D74</f>
        <v>Residential</v>
      </c>
      <c r="D76" s="1" t="str">
        <f aca="false">cleaned_data!C74</f>
        <v>East</v>
      </c>
      <c r="E76" s="24" t="n">
        <f aca="false">cleaned_data!M74</f>
        <v>616069.41</v>
      </c>
      <c r="F76" s="24" t="n">
        <f aca="false">multiple_regression!B343+multiple_regression!B331*cleaned_data!F74+multiple_regression!B332*cleaned_data!E74+multiple_regression!B333*cleaned_data!H74+multiple_regression!B334*cleaned_data!I74+multiple_regression!B335*cleaned_data!G74+multiple_regression!B336*cleaned_data!K74+multiple_regression!B337*dummy_variables!E77+multiple_regression!B338*dummy_variables!F77+multiple_regression!B339*dummy_variables!G77+multiple_regression!B340*dummy_variables!H77+multiple_regression!B341*dummy_variables!I77+multiple_regression!B342*dummy_variables!J77</f>
        <v>573246.736515516</v>
      </c>
      <c r="G76" s="24" t="n">
        <f aca="false">E76-F76</f>
        <v>42822.6734844839</v>
      </c>
    </row>
    <row r="77" customFormat="false" ht="15" hidden="false" customHeight="true" outlineLevel="0" collapsed="false">
      <c r="A77" s="1" t="str">
        <f aca="false">cleaned_data!A75</f>
        <v>STR-1019</v>
      </c>
      <c r="B77" s="3" t="n">
        <f aca="false">cleaned_data!B75</f>
        <v>45689</v>
      </c>
      <c r="C77" s="1" t="str">
        <f aca="false">cleaned_data!D75</f>
        <v>Residential</v>
      </c>
      <c r="D77" s="1" t="str">
        <f aca="false">cleaned_data!C75</f>
        <v>East</v>
      </c>
      <c r="E77" s="24" t="n">
        <f aca="false">cleaned_data!M75</f>
        <v>630829.94</v>
      </c>
      <c r="F77" s="24" t="n">
        <f aca="false">multiple_regression!B343+multiple_regression!B331*cleaned_data!F75+multiple_regression!B332*cleaned_data!E75+multiple_regression!B333*cleaned_data!H75+multiple_regression!B334*cleaned_data!I75+multiple_regression!B335*cleaned_data!G75+multiple_regression!B336*cleaned_data!K75+multiple_regression!B337*dummy_variables!E78+multiple_regression!B338*dummy_variables!F78+multiple_regression!B339*dummy_variables!G78+multiple_regression!B340*dummy_variables!H78+multiple_regression!B341*dummy_variables!I78+multiple_regression!B342*dummy_variables!J78</f>
        <v>683834.617931001</v>
      </c>
      <c r="G77" s="24" t="n">
        <f aca="false">E77-F77</f>
        <v>-53004.6779310013</v>
      </c>
    </row>
    <row r="78" customFormat="false" ht="15" hidden="false" customHeight="true" outlineLevel="0" collapsed="false">
      <c r="A78" s="1" t="str">
        <f aca="false">cleaned_data!A76</f>
        <v>STR-1019</v>
      </c>
      <c r="B78" s="3" t="n">
        <f aca="false">cleaned_data!B76</f>
        <v>45717</v>
      </c>
      <c r="C78" s="1" t="str">
        <f aca="false">cleaned_data!D76</f>
        <v>Residential</v>
      </c>
      <c r="D78" s="1" t="str">
        <f aca="false">cleaned_data!C76</f>
        <v>East</v>
      </c>
      <c r="E78" s="24" t="n">
        <f aca="false">cleaned_data!M76</f>
        <v>788087.68</v>
      </c>
      <c r="F78" s="24" t="n">
        <f aca="false">multiple_regression!B343+multiple_regression!B331*cleaned_data!F76+multiple_regression!B332*cleaned_data!E76+multiple_regression!B333*cleaned_data!H76+multiple_regression!B334*cleaned_data!I76+multiple_regression!B335*cleaned_data!G76+multiple_regression!B336*cleaned_data!K76+multiple_regression!B337*dummy_variables!E79+multiple_regression!B338*dummy_variables!F79+multiple_regression!B339*dummy_variables!G79+multiple_regression!B340*dummy_variables!H79+multiple_regression!B341*dummy_variables!I79+multiple_regression!B342*dummy_variables!J79</f>
        <v>711394.894560027</v>
      </c>
      <c r="G78" s="24" t="n">
        <f aca="false">E78-F78</f>
        <v>76692.7854399729</v>
      </c>
    </row>
    <row r="79" customFormat="false" ht="15" hidden="false" customHeight="true" outlineLevel="0" collapsed="false">
      <c r="A79" s="1" t="str">
        <f aca="false">cleaned_data!A77</f>
        <v>STR-1019</v>
      </c>
      <c r="B79" s="3" t="n">
        <f aca="false">cleaned_data!B77</f>
        <v>45748</v>
      </c>
      <c r="C79" s="1" t="str">
        <f aca="false">cleaned_data!D77</f>
        <v>Residential</v>
      </c>
      <c r="D79" s="1" t="str">
        <f aca="false">cleaned_data!C77</f>
        <v>East</v>
      </c>
      <c r="E79" s="24" t="n">
        <f aca="false">cleaned_data!M77</f>
        <v>680840.36</v>
      </c>
      <c r="F79" s="24" t="n">
        <f aca="false">multiple_regression!B343+multiple_regression!B331*cleaned_data!F77+multiple_regression!B332*cleaned_data!E77+multiple_regression!B333*cleaned_data!H77+multiple_regression!B334*cleaned_data!I77+multiple_regression!B335*cleaned_data!G77+multiple_regression!B336*cleaned_data!K77+multiple_regression!B337*dummy_variables!E80+multiple_regression!B338*dummy_variables!F80+multiple_regression!B339*dummy_variables!G80+multiple_regression!B340*dummy_variables!H80+multiple_regression!B341*dummy_variables!I80+multiple_regression!B342*dummy_variables!J80</f>
        <v>697344.295421786</v>
      </c>
      <c r="G79" s="24" t="n">
        <f aca="false">E79-F79</f>
        <v>-16503.9354217863</v>
      </c>
    </row>
    <row r="80" customFormat="false" ht="15" hidden="false" customHeight="true" outlineLevel="0" collapsed="false">
      <c r="A80" s="1" t="str">
        <f aca="false">cleaned_data!A78</f>
        <v>STR-1020</v>
      </c>
      <c r="B80" s="3" t="n">
        <f aca="false">cleaned_data!B78</f>
        <v>45658</v>
      </c>
      <c r="C80" s="1" t="str">
        <f aca="false">cleaned_data!D78</f>
        <v>High Street</v>
      </c>
      <c r="D80" s="1" t="str">
        <f aca="false">cleaned_data!C78</f>
        <v>South</v>
      </c>
      <c r="E80" s="24" t="n">
        <f aca="false">cleaned_data!M78</f>
        <v>643657.47</v>
      </c>
      <c r="F80" s="24" t="n">
        <f aca="false">multiple_regression!B343+multiple_regression!B331*cleaned_data!F78+multiple_regression!B332*cleaned_data!E78+multiple_regression!B333*cleaned_data!H78+multiple_regression!B334*cleaned_data!I78+multiple_regression!B335*cleaned_data!G78+multiple_regression!B336*cleaned_data!K78+multiple_regression!B337*dummy_variables!E81+multiple_regression!B338*dummy_variables!F81+multiple_regression!B339*dummy_variables!G81+multiple_regression!B340*dummy_variables!H81+multiple_regression!B341*dummy_variables!I81+multiple_regression!B342*dummy_variables!J81</f>
        <v>671788.413157968</v>
      </c>
      <c r="G80" s="24" t="n">
        <f aca="false">E80-F80</f>
        <v>-28130.9431579679</v>
      </c>
    </row>
    <row r="81" customFormat="false" ht="15" hidden="false" customHeight="true" outlineLevel="0" collapsed="false">
      <c r="A81" s="1" t="str">
        <f aca="false">cleaned_data!A79</f>
        <v>STR-1020</v>
      </c>
      <c r="B81" s="3" t="n">
        <f aca="false">cleaned_data!B79</f>
        <v>45689</v>
      </c>
      <c r="C81" s="1" t="str">
        <f aca="false">cleaned_data!D79</f>
        <v>High Street</v>
      </c>
      <c r="D81" s="1" t="str">
        <f aca="false">cleaned_data!C79</f>
        <v>South</v>
      </c>
      <c r="E81" s="24" t="n">
        <f aca="false">cleaned_data!M79</f>
        <v>691112.6</v>
      </c>
      <c r="F81" s="24" t="n">
        <f aca="false">multiple_regression!B343+multiple_regression!B331*cleaned_data!F79+multiple_regression!B332*cleaned_data!E79+multiple_regression!B333*cleaned_data!H79+multiple_regression!B334*cleaned_data!I79+multiple_regression!B335*cleaned_data!G79+multiple_regression!B336*cleaned_data!K79+multiple_regression!B337*dummy_variables!E82+multiple_regression!B338*dummy_variables!F82+multiple_regression!B339*dummy_variables!G82+multiple_regression!B340*dummy_variables!H82+multiple_regression!B341*dummy_variables!I82+multiple_regression!B342*dummy_variables!J82</f>
        <v>649667.959959792</v>
      </c>
      <c r="G81" s="24" t="n">
        <f aca="false">E81-F81</f>
        <v>41444.6400402081</v>
      </c>
    </row>
    <row r="82" customFormat="false" ht="15" hidden="false" customHeight="true" outlineLevel="0" collapsed="false">
      <c r="A82" s="1" t="str">
        <f aca="false">cleaned_data!A80</f>
        <v>STR-1020</v>
      </c>
      <c r="B82" s="3" t="n">
        <f aca="false">cleaned_data!B80</f>
        <v>45717</v>
      </c>
      <c r="C82" s="1" t="str">
        <f aca="false">cleaned_data!D80</f>
        <v>High Street</v>
      </c>
      <c r="D82" s="1" t="str">
        <f aca="false">cleaned_data!C80</f>
        <v>South</v>
      </c>
      <c r="E82" s="24" t="n">
        <f aca="false">cleaned_data!M80</f>
        <v>776922.17</v>
      </c>
      <c r="F82" s="24" t="n">
        <f aca="false">multiple_regression!B343+multiple_regression!B331*cleaned_data!F80+multiple_regression!B332*cleaned_data!E80+multiple_regression!B333*cleaned_data!H80+multiple_regression!B334*cleaned_data!I80+multiple_regression!B335*cleaned_data!G80+multiple_regression!B336*cleaned_data!K80+multiple_regression!B337*dummy_variables!E83+multiple_regression!B338*dummy_variables!F83+multiple_regression!B339*dummy_variables!G83+multiple_regression!B340*dummy_variables!H83+multiple_regression!B341*dummy_variables!I83+multiple_regression!B342*dummy_variables!J83</f>
        <v>722504.266207899</v>
      </c>
      <c r="G82" s="24" t="n">
        <f aca="false">E82-F82</f>
        <v>54417.9037921011</v>
      </c>
    </row>
    <row r="83" customFormat="false" ht="15" hidden="false" customHeight="true" outlineLevel="0" collapsed="false">
      <c r="A83" s="1" t="str">
        <f aca="false">cleaned_data!A81</f>
        <v>STR-1020</v>
      </c>
      <c r="B83" s="3" t="n">
        <f aca="false">cleaned_data!B81</f>
        <v>45748</v>
      </c>
      <c r="C83" s="1" t="str">
        <f aca="false">cleaned_data!D81</f>
        <v>High Street</v>
      </c>
      <c r="D83" s="1" t="str">
        <f aca="false">cleaned_data!C81</f>
        <v>South</v>
      </c>
      <c r="E83" s="24" t="n">
        <f aca="false">cleaned_data!M81</f>
        <v>636561.34</v>
      </c>
      <c r="F83" s="24" t="n">
        <f aca="false">multiple_regression!B343+multiple_regression!B331*cleaned_data!F81+multiple_regression!B332*cleaned_data!E81+multiple_regression!B333*cleaned_data!H81+multiple_regression!B334*cleaned_data!I81+multiple_regression!B335*cleaned_data!G81+multiple_regression!B336*cleaned_data!K81+multiple_regression!B337*dummy_variables!E84+multiple_regression!B338*dummy_variables!F84+multiple_regression!B339*dummy_variables!G84+multiple_regression!B340*dummy_variables!H84+multiple_regression!B341*dummy_variables!I84+multiple_regression!B342*dummy_variables!J84</f>
        <v>660961.707364593</v>
      </c>
      <c r="G83" s="24" t="n">
        <f aca="false">E83-F83</f>
        <v>-24400.3673645926</v>
      </c>
    </row>
    <row r="84" customFormat="false" ht="15" hidden="false" customHeight="true" outlineLevel="0" collapsed="false">
      <c r="A84" s="1" t="str">
        <f aca="false">cleaned_data!A82</f>
        <v>STR-1021</v>
      </c>
      <c r="B84" s="3" t="n">
        <f aca="false">cleaned_data!B82</f>
        <v>45658</v>
      </c>
      <c r="C84" s="1" t="str">
        <f aca="false">cleaned_data!D82</f>
        <v>Mall</v>
      </c>
      <c r="D84" s="1" t="str">
        <f aca="false">cleaned_data!C82</f>
        <v>West</v>
      </c>
      <c r="E84" s="24" t="n">
        <f aca="false">cleaned_data!M82</f>
        <v>621369.58</v>
      </c>
      <c r="F84" s="24" t="n">
        <f aca="false">multiple_regression!B343+multiple_regression!B331*cleaned_data!F82+multiple_regression!B332*cleaned_data!E82+multiple_regression!B333*cleaned_data!H82+multiple_regression!B334*cleaned_data!I82+multiple_regression!B335*cleaned_data!G82+multiple_regression!B336*cleaned_data!K82+multiple_regression!B337*dummy_variables!E85+multiple_regression!B338*dummy_variables!F85+multiple_regression!B339*dummy_variables!G85+multiple_regression!B340*dummy_variables!H85+multiple_regression!B341*dummy_variables!I85+multiple_regression!B342*dummy_variables!J85</f>
        <v>651952.121989241</v>
      </c>
      <c r="G84" s="24" t="n">
        <f aca="false">E84-F84</f>
        <v>-30582.5419892414</v>
      </c>
    </row>
    <row r="85" customFormat="false" ht="15" hidden="false" customHeight="true" outlineLevel="0" collapsed="false">
      <c r="A85" s="1" t="str">
        <f aca="false">cleaned_data!A83</f>
        <v>STR-1021</v>
      </c>
      <c r="B85" s="3" t="n">
        <f aca="false">cleaned_data!B83</f>
        <v>45689</v>
      </c>
      <c r="C85" s="1" t="str">
        <f aca="false">cleaned_data!D83</f>
        <v>Mall</v>
      </c>
      <c r="D85" s="1" t="str">
        <f aca="false">cleaned_data!C83</f>
        <v>West</v>
      </c>
      <c r="E85" s="24" t="n">
        <f aca="false">cleaned_data!M83</f>
        <v>682208.01</v>
      </c>
      <c r="F85" s="24" t="n">
        <f aca="false">multiple_regression!B343+multiple_regression!B331*cleaned_data!F83+multiple_regression!B332*cleaned_data!E83+multiple_regression!B333*cleaned_data!H83+multiple_regression!B334*cleaned_data!I83+multiple_regression!B335*cleaned_data!G83+multiple_regression!B336*cleaned_data!K83+multiple_regression!B337*dummy_variables!E86+multiple_regression!B338*dummy_variables!F86+multiple_regression!B339*dummy_variables!G86+multiple_regression!B340*dummy_variables!H86+multiple_regression!B341*dummy_variables!I86+multiple_regression!B342*dummy_variables!J86</f>
        <v>631154.726827692</v>
      </c>
      <c r="G85" s="24" t="n">
        <f aca="false">E85-F85</f>
        <v>51053.2831723081</v>
      </c>
    </row>
    <row r="86" customFormat="false" ht="15" hidden="false" customHeight="true" outlineLevel="0" collapsed="false">
      <c r="A86" s="1" t="str">
        <f aca="false">cleaned_data!A84</f>
        <v>STR-1021</v>
      </c>
      <c r="B86" s="3" t="n">
        <f aca="false">cleaned_data!B84</f>
        <v>45717</v>
      </c>
      <c r="C86" s="1" t="str">
        <f aca="false">cleaned_data!D84</f>
        <v>Mall</v>
      </c>
      <c r="D86" s="1" t="str">
        <f aca="false">cleaned_data!C84</f>
        <v>West</v>
      </c>
      <c r="E86" s="24" t="n">
        <f aca="false">cleaned_data!M84</f>
        <v>727241.86</v>
      </c>
      <c r="F86" s="24" t="n">
        <f aca="false">multiple_regression!B343+multiple_regression!B331*cleaned_data!F84+multiple_regression!B332*cleaned_data!E84+multiple_regression!B333*cleaned_data!H84+multiple_regression!B334*cleaned_data!I84+multiple_regression!B335*cleaned_data!G84+multiple_regression!B336*cleaned_data!K84+multiple_regression!B337*dummy_variables!E87+multiple_regression!B338*dummy_variables!F87+multiple_regression!B339*dummy_variables!G87+multiple_regression!B340*dummy_variables!H87+multiple_regression!B341*dummy_variables!I87+multiple_regression!B342*dummy_variables!J87</f>
        <v>658628.497921984</v>
      </c>
      <c r="G86" s="24" t="n">
        <f aca="false">E86-F86</f>
        <v>68613.3620780163</v>
      </c>
    </row>
    <row r="87" customFormat="false" ht="15" hidden="false" customHeight="true" outlineLevel="0" collapsed="false">
      <c r="A87" s="1" t="str">
        <f aca="false">cleaned_data!A85</f>
        <v>STR-1021</v>
      </c>
      <c r="B87" s="3" t="n">
        <f aca="false">cleaned_data!B85</f>
        <v>45748</v>
      </c>
      <c r="C87" s="1" t="str">
        <f aca="false">cleaned_data!D85</f>
        <v>Mall</v>
      </c>
      <c r="D87" s="1" t="str">
        <f aca="false">cleaned_data!C85</f>
        <v>West</v>
      </c>
      <c r="E87" s="24" t="n">
        <f aca="false">cleaned_data!M85</f>
        <v>569100.78</v>
      </c>
      <c r="F87" s="24" t="n">
        <f aca="false">multiple_regression!B343+multiple_regression!B331*cleaned_data!F85+multiple_regression!B332*cleaned_data!E85+multiple_regression!B333*cleaned_data!H85+multiple_regression!B334*cleaned_data!I85+multiple_regression!B335*cleaned_data!G85+multiple_regression!B336*cleaned_data!K85+multiple_regression!B337*dummy_variables!E88+multiple_regression!B338*dummy_variables!F88+multiple_regression!B339*dummy_variables!G88+multiple_regression!B340*dummy_variables!H88+multiple_regression!B341*dummy_variables!I88+multiple_regression!B342*dummy_variables!J88</f>
        <v>557289.462437486</v>
      </c>
      <c r="G87" s="24" t="n">
        <f aca="false">E87-F87</f>
        <v>11811.3175625141</v>
      </c>
    </row>
    <row r="88" customFormat="false" ht="15" hidden="false" customHeight="true" outlineLevel="0" collapsed="false">
      <c r="A88" s="1" t="str">
        <f aca="false">cleaned_data!A86</f>
        <v>STR-1022</v>
      </c>
      <c r="B88" s="3" t="n">
        <f aca="false">cleaned_data!B86</f>
        <v>45658</v>
      </c>
      <c r="C88" s="1" t="str">
        <f aca="false">cleaned_data!D86</f>
        <v>High Street</v>
      </c>
      <c r="D88" s="1" t="str">
        <f aca="false">cleaned_data!C86</f>
        <v>West</v>
      </c>
      <c r="E88" s="24" t="n">
        <f aca="false">cleaned_data!M86</f>
        <v>574436.29</v>
      </c>
      <c r="F88" s="24" t="n">
        <f aca="false">multiple_regression!B343+multiple_regression!B331*cleaned_data!F86+multiple_regression!B332*cleaned_data!E86+multiple_regression!B333*cleaned_data!H86+multiple_regression!B334*cleaned_data!I86+multiple_regression!B335*cleaned_data!G86+multiple_regression!B336*cleaned_data!K86+multiple_regression!B337*dummy_variables!E89+multiple_regression!B338*dummy_variables!F89+multiple_regression!B339*dummy_variables!G89+multiple_regression!B340*dummy_variables!H89+multiple_regression!B341*dummy_variables!I89+multiple_regression!B342*dummy_variables!J89</f>
        <v>552716.638821463</v>
      </c>
      <c r="G88" s="24" t="n">
        <f aca="false">E88-F88</f>
        <v>21719.6511785371</v>
      </c>
    </row>
    <row r="89" customFormat="false" ht="15" hidden="false" customHeight="true" outlineLevel="0" collapsed="false">
      <c r="A89" s="1" t="str">
        <f aca="false">cleaned_data!A87</f>
        <v>STR-1022</v>
      </c>
      <c r="B89" s="3" t="n">
        <f aca="false">cleaned_data!B87</f>
        <v>45689</v>
      </c>
      <c r="C89" s="1" t="str">
        <f aca="false">cleaned_data!D87</f>
        <v>High Street</v>
      </c>
      <c r="D89" s="1" t="str">
        <f aca="false">cleaned_data!C87</f>
        <v>West</v>
      </c>
      <c r="E89" s="24" t="n">
        <f aca="false">cleaned_data!M87</f>
        <v>611766.72</v>
      </c>
      <c r="F89" s="24" t="n">
        <f aca="false">multiple_regression!B343+multiple_regression!B331*cleaned_data!F87+multiple_regression!B332*cleaned_data!E87+multiple_regression!B333*cleaned_data!H87+multiple_regression!B334*cleaned_data!I87+multiple_regression!B335*cleaned_data!G87+multiple_regression!B336*cleaned_data!K87+multiple_regression!B337*dummy_variables!E90+multiple_regression!B338*dummy_variables!F90+multiple_regression!B339*dummy_variables!G90+multiple_regression!B340*dummy_variables!H90+multiple_regression!B341*dummy_variables!I90+multiple_regression!B342*dummy_variables!J90</f>
        <v>643374.302639898</v>
      </c>
      <c r="G89" s="24" t="n">
        <f aca="false">E89-F89</f>
        <v>-31607.5826398983</v>
      </c>
    </row>
    <row r="90" customFormat="false" ht="15" hidden="false" customHeight="true" outlineLevel="0" collapsed="false">
      <c r="A90" s="1" t="str">
        <f aca="false">cleaned_data!A88</f>
        <v>STR-1022</v>
      </c>
      <c r="B90" s="3" t="n">
        <f aca="false">cleaned_data!B88</f>
        <v>45717</v>
      </c>
      <c r="C90" s="1" t="str">
        <f aca="false">cleaned_data!D88</f>
        <v>High Street</v>
      </c>
      <c r="D90" s="1" t="str">
        <f aca="false">cleaned_data!C88</f>
        <v>West</v>
      </c>
      <c r="E90" s="24" t="n">
        <f aca="false">cleaned_data!M88</f>
        <v>614596.32</v>
      </c>
      <c r="F90" s="24" t="n">
        <f aca="false">multiple_regression!B343+multiple_regression!B331*cleaned_data!F88+multiple_regression!B332*cleaned_data!E88+multiple_regression!B333*cleaned_data!H88+multiple_regression!B334*cleaned_data!I88+multiple_regression!B335*cleaned_data!G88+multiple_regression!B336*cleaned_data!K88+multiple_regression!B337*dummy_variables!E91+multiple_regression!B338*dummy_variables!F91+multiple_regression!B339*dummy_variables!G91+multiple_regression!B340*dummy_variables!H91+multiple_regression!B341*dummy_variables!I91+multiple_regression!B342*dummy_variables!J91</f>
        <v>622548.165452775</v>
      </c>
      <c r="G90" s="24" t="n">
        <f aca="false">E90-F90</f>
        <v>-7951.84545277502</v>
      </c>
    </row>
    <row r="91" customFormat="false" ht="15" hidden="false" customHeight="true" outlineLevel="0" collapsed="false">
      <c r="A91" s="1" t="str">
        <f aca="false">cleaned_data!A89</f>
        <v>STR-1022</v>
      </c>
      <c r="B91" s="3" t="n">
        <f aca="false">cleaned_data!B89</f>
        <v>45748</v>
      </c>
      <c r="C91" s="1" t="str">
        <f aca="false">cleaned_data!D89</f>
        <v>High Street</v>
      </c>
      <c r="D91" s="1" t="str">
        <f aca="false">cleaned_data!C89</f>
        <v>West</v>
      </c>
      <c r="E91" s="24" t="n">
        <f aca="false">cleaned_data!M89</f>
        <v>450711.92</v>
      </c>
      <c r="F91" s="24" t="n">
        <f aca="false">multiple_regression!B343+multiple_regression!B331*cleaned_data!F89+multiple_regression!B332*cleaned_data!E89+multiple_regression!B333*cleaned_data!H89+multiple_regression!B334*cleaned_data!I89+multiple_regression!B335*cleaned_data!G89+multiple_regression!B336*cleaned_data!K89+multiple_regression!B337*dummy_variables!E92+multiple_regression!B338*dummy_variables!F92+multiple_regression!B339*dummy_variables!G92+multiple_regression!B340*dummy_variables!H92+multiple_regression!B341*dummy_variables!I92+multiple_regression!B342*dummy_variables!J92</f>
        <v>466689.966632102</v>
      </c>
      <c r="G91" s="24" t="n">
        <f aca="false">E91-F91</f>
        <v>-15978.0466321021</v>
      </c>
    </row>
    <row r="92" customFormat="false" ht="15" hidden="false" customHeight="true" outlineLevel="0" collapsed="false">
      <c r="A92" s="1" t="str">
        <f aca="false">cleaned_data!A90</f>
        <v>STR-1023</v>
      </c>
      <c r="B92" s="3" t="n">
        <f aca="false">cleaned_data!B90</f>
        <v>45658</v>
      </c>
      <c r="C92" s="1" t="str">
        <f aca="false">cleaned_data!D90</f>
        <v>Mall</v>
      </c>
      <c r="D92" s="1" t="str">
        <f aca="false">cleaned_data!C90</f>
        <v>South</v>
      </c>
      <c r="E92" s="24" t="n">
        <f aca="false">cleaned_data!M90</f>
        <v>711213.46</v>
      </c>
      <c r="F92" s="24" t="n">
        <f aca="false">multiple_regression!B343+multiple_regression!B331*cleaned_data!F90+multiple_regression!B332*cleaned_data!E90+multiple_regression!B333*cleaned_data!H90+multiple_regression!B334*cleaned_data!I90+multiple_regression!B335*cleaned_data!G90+multiple_regression!B336*cleaned_data!K90+multiple_regression!B337*dummy_variables!E93+multiple_regression!B338*dummy_variables!F93+multiple_regression!B339*dummy_variables!G93+multiple_regression!B340*dummy_variables!H93+multiple_regression!B341*dummy_variables!I93+multiple_regression!B342*dummy_variables!J93</f>
        <v>703488.509390688</v>
      </c>
      <c r="G92" s="24" t="n">
        <f aca="false">E92-F92</f>
        <v>7724.95060931216</v>
      </c>
    </row>
    <row r="93" customFormat="false" ht="15" hidden="false" customHeight="true" outlineLevel="0" collapsed="false">
      <c r="A93" s="1" t="str">
        <f aca="false">cleaned_data!A91</f>
        <v>STR-1023</v>
      </c>
      <c r="B93" s="3" t="n">
        <f aca="false">cleaned_data!B91</f>
        <v>45689</v>
      </c>
      <c r="C93" s="1" t="str">
        <f aca="false">cleaned_data!D91</f>
        <v>Mall</v>
      </c>
      <c r="D93" s="1" t="str">
        <f aca="false">cleaned_data!C91</f>
        <v>South</v>
      </c>
      <c r="E93" s="24" t="n">
        <f aca="false">cleaned_data!M91</f>
        <v>627171.9</v>
      </c>
      <c r="F93" s="24" t="n">
        <f aca="false">multiple_regression!B343+multiple_regression!B331*cleaned_data!F91+multiple_regression!B332*cleaned_data!E91+multiple_regression!B333*cleaned_data!H91+multiple_regression!B334*cleaned_data!I91+multiple_regression!B335*cleaned_data!G91+multiple_regression!B336*cleaned_data!K91+multiple_regression!B337*dummy_variables!E94+multiple_regression!B338*dummy_variables!F94+multiple_regression!B339*dummy_variables!G94+multiple_regression!B340*dummy_variables!H94+multiple_regression!B341*dummy_variables!I94+multiple_regression!B342*dummy_variables!J94</f>
        <v>753250.116703771</v>
      </c>
      <c r="G93" s="24" t="n">
        <f aca="false">E93-F93</f>
        <v>-126078.21670377</v>
      </c>
    </row>
    <row r="94" customFormat="false" ht="15" hidden="false" customHeight="true" outlineLevel="0" collapsed="false">
      <c r="A94" s="1" t="str">
        <f aca="false">cleaned_data!A92</f>
        <v>STR-1023</v>
      </c>
      <c r="B94" s="3" t="n">
        <f aca="false">cleaned_data!B92</f>
        <v>45717</v>
      </c>
      <c r="C94" s="1" t="str">
        <f aca="false">cleaned_data!D92</f>
        <v>Mall</v>
      </c>
      <c r="D94" s="1" t="str">
        <f aca="false">cleaned_data!C92</f>
        <v>South</v>
      </c>
      <c r="E94" s="24" t="n">
        <f aca="false">cleaned_data!M92</f>
        <v>739852.58</v>
      </c>
      <c r="F94" s="24" t="n">
        <f aca="false">multiple_regression!B343+multiple_regression!B331*cleaned_data!F92+multiple_regression!B332*cleaned_data!E92+multiple_regression!B333*cleaned_data!H92+multiple_regression!B334*cleaned_data!I92+multiple_regression!B335*cleaned_data!G92+multiple_regression!B336*cleaned_data!K92+multiple_regression!B337*dummy_variables!E95+multiple_regression!B338*dummy_variables!F95+multiple_regression!B339*dummy_variables!G95+multiple_regression!B340*dummy_variables!H95+multiple_regression!B341*dummy_variables!I95+multiple_regression!B342*dummy_variables!J95</f>
        <v>729442.30658548</v>
      </c>
      <c r="G94" s="24" t="n">
        <f aca="false">E94-F94</f>
        <v>10410.2734145201</v>
      </c>
    </row>
    <row r="95" customFormat="false" ht="15" hidden="false" customHeight="true" outlineLevel="0" collapsed="false">
      <c r="A95" s="1" t="str">
        <f aca="false">cleaned_data!A93</f>
        <v>STR-1023</v>
      </c>
      <c r="B95" s="3" t="n">
        <f aca="false">cleaned_data!B93</f>
        <v>45748</v>
      </c>
      <c r="C95" s="1" t="str">
        <f aca="false">cleaned_data!D93</f>
        <v>Mall</v>
      </c>
      <c r="D95" s="1" t="str">
        <f aca="false">cleaned_data!C93</f>
        <v>South</v>
      </c>
      <c r="E95" s="24" t="n">
        <f aca="false">cleaned_data!M93</f>
        <v>586307.22</v>
      </c>
      <c r="F95" s="24" t="n">
        <f aca="false">multiple_regression!B343+multiple_regression!B331*cleaned_data!F93+multiple_regression!B332*cleaned_data!E93+multiple_regression!B333*cleaned_data!H93+multiple_regression!B334*cleaned_data!I93+multiple_regression!B335*cleaned_data!G93+multiple_regression!B336*cleaned_data!K93+multiple_regression!B337*dummy_variables!E96+multiple_regression!B338*dummy_variables!F96+multiple_regression!B339*dummy_variables!G96+multiple_regression!B340*dummy_variables!H96+multiple_regression!B341*dummy_variables!I96+multiple_regression!B342*dummy_variables!J96</f>
        <v>566809.618346883</v>
      </c>
      <c r="G95" s="24" t="n">
        <f aca="false">E95-F95</f>
        <v>19497.6016531165</v>
      </c>
    </row>
    <row r="96" customFormat="false" ht="15" hidden="false" customHeight="true" outlineLevel="0" collapsed="false">
      <c r="A96" s="1" t="str">
        <f aca="false">cleaned_data!A94</f>
        <v>STR-1024</v>
      </c>
      <c r="B96" s="3" t="n">
        <f aca="false">cleaned_data!B94</f>
        <v>45658</v>
      </c>
      <c r="C96" s="1" t="str">
        <f aca="false">cleaned_data!D94</f>
        <v>Residential</v>
      </c>
      <c r="D96" s="1" t="str">
        <f aca="false">cleaned_data!C94</f>
        <v>West</v>
      </c>
      <c r="E96" s="24" t="n">
        <f aca="false">cleaned_data!M94</f>
        <v>585937.48</v>
      </c>
      <c r="F96" s="24" t="n">
        <f aca="false">multiple_regression!B343+multiple_regression!B331*cleaned_data!F94+multiple_regression!B332*cleaned_data!E94+multiple_regression!B333*cleaned_data!H94+multiple_regression!B334*cleaned_data!I94+multiple_regression!B335*cleaned_data!G94+multiple_regression!B336*cleaned_data!K94+multiple_regression!B337*dummy_variables!E97+multiple_regression!B338*dummy_variables!F97+multiple_regression!B339*dummy_variables!G97+multiple_regression!B340*dummy_variables!H97+multiple_regression!B341*dummy_variables!I97+multiple_regression!B342*dummy_variables!J97</f>
        <v>589746.728222084</v>
      </c>
      <c r="G96" s="24" t="n">
        <f aca="false">E96-F96</f>
        <v>-3809.24822208367</v>
      </c>
    </row>
    <row r="97" customFormat="false" ht="15" hidden="false" customHeight="true" outlineLevel="0" collapsed="false">
      <c r="A97" s="1" t="str">
        <f aca="false">cleaned_data!A95</f>
        <v>STR-1024</v>
      </c>
      <c r="B97" s="3" t="n">
        <f aca="false">cleaned_data!B95</f>
        <v>45689</v>
      </c>
      <c r="C97" s="1" t="str">
        <f aca="false">cleaned_data!D95</f>
        <v>Residential</v>
      </c>
      <c r="D97" s="1" t="str">
        <f aca="false">cleaned_data!C95</f>
        <v>West</v>
      </c>
      <c r="E97" s="24" t="n">
        <f aca="false">cleaned_data!M95</f>
        <v>753473.55</v>
      </c>
      <c r="F97" s="24" t="n">
        <f aca="false">multiple_regression!B343+multiple_regression!B331*cleaned_data!F95+multiple_regression!B332*cleaned_data!E95+multiple_regression!B333*cleaned_data!H95+multiple_regression!B334*cleaned_data!I95+multiple_regression!B335*cleaned_data!G95+multiple_regression!B336*cleaned_data!K95+multiple_regression!B337*dummy_variables!E98+multiple_regression!B338*dummy_variables!F98+multiple_regression!B339*dummy_variables!G98+multiple_regression!B340*dummy_variables!H98+multiple_regression!B341*dummy_variables!I98+multiple_regression!B342*dummy_variables!J98</f>
        <v>692815.511902532</v>
      </c>
      <c r="G97" s="24" t="n">
        <f aca="false">E97-F97</f>
        <v>60658.0380974677</v>
      </c>
    </row>
    <row r="98" customFormat="false" ht="15" hidden="false" customHeight="true" outlineLevel="0" collapsed="false">
      <c r="A98" s="1" t="str">
        <f aca="false">cleaned_data!A96</f>
        <v>STR-1024</v>
      </c>
      <c r="B98" s="3" t="n">
        <f aca="false">cleaned_data!B96</f>
        <v>45717</v>
      </c>
      <c r="C98" s="1" t="str">
        <f aca="false">cleaned_data!D96</f>
        <v>Residential</v>
      </c>
      <c r="D98" s="1" t="str">
        <f aca="false">cleaned_data!C96</f>
        <v>West</v>
      </c>
      <c r="E98" s="24" t="n">
        <f aca="false">cleaned_data!M96</f>
        <v>838250.32</v>
      </c>
      <c r="F98" s="24" t="n">
        <f aca="false">multiple_regression!B343+multiple_regression!B331*cleaned_data!F96+multiple_regression!B332*cleaned_data!E96+multiple_regression!B333*cleaned_data!H96+multiple_regression!B334*cleaned_data!I96+multiple_regression!B335*cleaned_data!G96+multiple_regression!B336*cleaned_data!K96+multiple_regression!B337*dummy_variables!E99+multiple_regression!B338*dummy_variables!F99+multiple_regression!B339*dummy_variables!G99+multiple_regression!B340*dummy_variables!H99+multiple_regression!B341*dummy_variables!I99+multiple_regression!B342*dummy_variables!J99</f>
        <v>757126.918527919</v>
      </c>
      <c r="G98" s="24" t="n">
        <f aca="false">E98-F98</f>
        <v>81123.4014720805</v>
      </c>
    </row>
    <row r="99" customFormat="false" ht="15" hidden="false" customHeight="true" outlineLevel="0" collapsed="false">
      <c r="A99" s="1" t="str">
        <f aca="false">cleaned_data!A97</f>
        <v>STR-1024</v>
      </c>
      <c r="B99" s="3" t="n">
        <f aca="false">cleaned_data!B97</f>
        <v>45748</v>
      </c>
      <c r="C99" s="1" t="str">
        <f aca="false">cleaned_data!D97</f>
        <v>Residential</v>
      </c>
      <c r="D99" s="1" t="str">
        <f aca="false">cleaned_data!C97</f>
        <v>West</v>
      </c>
      <c r="E99" s="24" t="n">
        <f aca="false">cleaned_data!M97</f>
        <v>607898.12</v>
      </c>
      <c r="F99" s="24" t="n">
        <f aca="false">multiple_regression!B343+multiple_regression!B331*cleaned_data!F97+multiple_regression!B332*cleaned_data!E97+multiple_regression!B333*cleaned_data!H97+multiple_regression!B334*cleaned_data!I97+multiple_regression!B335*cleaned_data!G97+multiple_regression!B336*cleaned_data!K97+multiple_regression!B337*dummy_variables!E100+multiple_regression!B338*dummy_variables!F100+multiple_regression!B339*dummy_variables!G100+multiple_regression!B340*dummy_variables!H100+multiple_regression!B341*dummy_variables!I100+multiple_regression!B342*dummy_variables!J100</f>
        <v>617196.144274825</v>
      </c>
      <c r="G99" s="24" t="n">
        <f aca="false">E99-F99</f>
        <v>-9298.02427482512</v>
      </c>
    </row>
    <row r="100" customFormat="false" ht="15" hidden="false" customHeight="true" outlineLevel="0" collapsed="false">
      <c r="A100" s="1" t="str">
        <f aca="false">cleaned_data!A98</f>
        <v>STR-1025</v>
      </c>
      <c r="B100" s="3" t="n">
        <f aca="false">cleaned_data!B98</f>
        <v>45658</v>
      </c>
      <c r="C100" s="1" t="str">
        <f aca="false">cleaned_data!D98</f>
        <v>Mall</v>
      </c>
      <c r="D100" s="1" t="str">
        <f aca="false">cleaned_data!C98</f>
        <v>West</v>
      </c>
      <c r="E100" s="24" t="n">
        <f aca="false">cleaned_data!M98</f>
        <v>691113.62</v>
      </c>
      <c r="F100" s="24" t="n">
        <f aca="false">multiple_regression!B343+multiple_regression!B331*cleaned_data!F98+multiple_regression!B332*cleaned_data!E98+multiple_regression!B333*cleaned_data!H98+multiple_regression!B334*cleaned_data!I98+multiple_regression!B335*cleaned_data!G98+multiple_regression!B336*cleaned_data!K98+multiple_regression!B337*dummy_variables!E101+multiple_regression!B338*dummy_variables!F101+multiple_regression!B339*dummy_variables!G101+multiple_regression!B340*dummy_variables!H101+multiple_regression!B341*dummy_variables!I101+multiple_regression!B342*dummy_variables!J101</f>
        <v>714218.841331103</v>
      </c>
      <c r="G100" s="24" t="n">
        <f aca="false">E100-F100</f>
        <v>-23105.2213311025</v>
      </c>
    </row>
    <row r="101" customFormat="false" ht="15" hidden="false" customHeight="true" outlineLevel="0" collapsed="false">
      <c r="A101" s="1" t="str">
        <f aca="false">cleaned_data!A99</f>
        <v>STR-1025</v>
      </c>
      <c r="B101" s="3" t="n">
        <f aca="false">cleaned_data!B99</f>
        <v>45689</v>
      </c>
      <c r="C101" s="1" t="str">
        <f aca="false">cleaned_data!D99</f>
        <v>Mall</v>
      </c>
      <c r="D101" s="1" t="str">
        <f aca="false">cleaned_data!C99</f>
        <v>West</v>
      </c>
      <c r="E101" s="24" t="n">
        <f aca="false">cleaned_data!M99</f>
        <v>735509.4</v>
      </c>
      <c r="F101" s="24" t="n">
        <f aca="false">multiple_regression!B343+multiple_regression!B331*cleaned_data!F99+multiple_regression!B332*cleaned_data!E99+multiple_regression!B333*cleaned_data!H99+multiple_regression!B334*cleaned_data!I99+multiple_regression!B335*cleaned_data!G99+multiple_regression!B336*cleaned_data!K99+multiple_regression!B337*dummy_variables!E102+multiple_regression!B338*dummy_variables!F102+multiple_regression!B339*dummy_variables!G102+multiple_regression!B340*dummy_variables!H102+multiple_regression!B341*dummy_variables!I102+multiple_regression!B342*dummy_variables!J102</f>
        <v>665516.568552451</v>
      </c>
      <c r="G101" s="24" t="n">
        <f aca="false">E101-F101</f>
        <v>69992.8314475491</v>
      </c>
    </row>
    <row r="102" customFormat="false" ht="15" hidden="false" customHeight="true" outlineLevel="0" collapsed="false">
      <c r="A102" s="1" t="str">
        <f aca="false">cleaned_data!A100</f>
        <v>STR-1025</v>
      </c>
      <c r="B102" s="3" t="n">
        <f aca="false">cleaned_data!B100</f>
        <v>45717</v>
      </c>
      <c r="C102" s="1" t="str">
        <f aca="false">cleaned_data!D100</f>
        <v>Mall</v>
      </c>
      <c r="D102" s="1" t="str">
        <f aca="false">cleaned_data!C100</f>
        <v>West</v>
      </c>
      <c r="E102" s="24" t="n">
        <f aca="false">cleaned_data!M100</f>
        <v>605775.33</v>
      </c>
      <c r="F102" s="24" t="n">
        <f aca="false">multiple_regression!B343+multiple_regression!B331*cleaned_data!F100+multiple_regression!B332*cleaned_data!E100+multiple_regression!B333*cleaned_data!H100+multiple_regression!B334*cleaned_data!I100+multiple_regression!B335*cleaned_data!G100+multiple_regression!B336*cleaned_data!K100+multiple_regression!B337*dummy_variables!E103+multiple_regression!B338*dummy_variables!F103+multiple_regression!B339*dummy_variables!G103+multiple_regression!B340*dummy_variables!H103+multiple_regression!B341*dummy_variables!I103+multiple_regression!B342*dummy_variables!J103</f>
        <v>629634.165503292</v>
      </c>
      <c r="G102" s="24" t="n">
        <f aca="false">E102-F102</f>
        <v>-23858.8355032924</v>
      </c>
    </row>
    <row r="103" customFormat="false" ht="15" hidden="false" customHeight="true" outlineLevel="0" collapsed="false">
      <c r="A103" s="1" t="str">
        <f aca="false">cleaned_data!A101</f>
        <v>STR-1025</v>
      </c>
      <c r="B103" s="3" t="n">
        <f aca="false">cleaned_data!B101</f>
        <v>45748</v>
      </c>
      <c r="C103" s="1" t="str">
        <f aca="false">cleaned_data!D101</f>
        <v>Mall</v>
      </c>
      <c r="D103" s="1" t="str">
        <f aca="false">cleaned_data!C101</f>
        <v>West</v>
      </c>
      <c r="E103" s="24" t="n">
        <f aca="false">cleaned_data!M101</f>
        <v>675177.68</v>
      </c>
      <c r="F103" s="24" t="n">
        <f aca="false">multiple_regression!B343+multiple_regression!B331*cleaned_data!F101+multiple_regression!B332*cleaned_data!E101+multiple_regression!B333*cleaned_data!H101+multiple_regression!B334*cleaned_data!I101+multiple_regression!B335*cleaned_data!G101+multiple_regression!B336*cleaned_data!K101+multiple_regression!B337*dummy_variables!E104+multiple_regression!B338*dummy_variables!F104+multiple_regression!B339*dummy_variables!G104+multiple_regression!B340*dummy_variables!H104+multiple_regression!B341*dummy_variables!I104+multiple_regression!B342*dummy_variables!J104</f>
        <v>650596.080172167</v>
      </c>
      <c r="G103" s="24" t="n">
        <f aca="false">E103-F103</f>
        <v>24581.5998278334</v>
      </c>
    </row>
    <row r="104" customFormat="false" ht="15" hidden="false" customHeight="true" outlineLevel="0" collapsed="false">
      <c r="A104" s="1" t="str">
        <f aca="false">cleaned_data!A102</f>
        <v>STR-1026</v>
      </c>
      <c r="B104" s="3" t="n">
        <f aca="false">cleaned_data!B102</f>
        <v>45658</v>
      </c>
      <c r="C104" s="1" t="str">
        <f aca="false">cleaned_data!D102</f>
        <v>Mall</v>
      </c>
      <c r="D104" s="1" t="str">
        <f aca="false">cleaned_data!C102</f>
        <v>East</v>
      </c>
      <c r="E104" s="24" t="n">
        <f aca="false">cleaned_data!M102</f>
        <v>635181.35</v>
      </c>
      <c r="F104" s="24" t="n">
        <f aca="false">multiple_regression!B343+multiple_regression!B331*cleaned_data!F102+multiple_regression!B332*cleaned_data!E102+multiple_regression!B333*cleaned_data!H102+multiple_regression!B334*cleaned_data!I102+multiple_regression!B335*cleaned_data!G102+multiple_regression!B336*cleaned_data!K102+multiple_regression!B337*dummy_variables!E105+multiple_regression!B338*dummy_variables!F105+multiple_regression!B339*dummy_variables!G105+multiple_regression!B340*dummy_variables!H105+multiple_regression!B341*dummy_variables!I105+multiple_regression!B342*dummy_variables!J105</f>
        <v>588740.358982727</v>
      </c>
      <c r="G104" s="24" t="n">
        <f aca="false">E104-F104</f>
        <v>46440.9910172735</v>
      </c>
    </row>
    <row r="105" customFormat="false" ht="15" hidden="false" customHeight="true" outlineLevel="0" collapsed="false">
      <c r="A105" s="1" t="str">
        <f aca="false">cleaned_data!A103</f>
        <v>STR-1026</v>
      </c>
      <c r="B105" s="3" t="n">
        <f aca="false">cleaned_data!B103</f>
        <v>45689</v>
      </c>
      <c r="C105" s="1" t="str">
        <f aca="false">cleaned_data!D103</f>
        <v>Mall</v>
      </c>
      <c r="D105" s="1" t="str">
        <f aca="false">cleaned_data!C103</f>
        <v>East</v>
      </c>
      <c r="E105" s="24" t="n">
        <f aca="false">cleaned_data!M103</f>
        <v>586626.94</v>
      </c>
      <c r="F105" s="24" t="n">
        <f aca="false">multiple_regression!B343+multiple_regression!B331*cleaned_data!F103+multiple_regression!B332*cleaned_data!E103+multiple_regression!B333*cleaned_data!H103+multiple_regression!B334*cleaned_data!I103+multiple_regression!B335*cleaned_data!G103+multiple_regression!B336*cleaned_data!K103+multiple_regression!B337*dummy_variables!E106+multiple_regression!B338*dummy_variables!F106+multiple_regression!B339*dummy_variables!G106+multiple_regression!B340*dummy_variables!H106+multiple_regression!B341*dummy_variables!I106+multiple_regression!B342*dummy_variables!J106</f>
        <v>622641.668600295</v>
      </c>
      <c r="G105" s="24" t="n">
        <f aca="false">E105-F105</f>
        <v>-36014.7286002949</v>
      </c>
    </row>
    <row r="106" customFormat="false" ht="15" hidden="false" customHeight="true" outlineLevel="0" collapsed="false">
      <c r="A106" s="1" t="str">
        <f aca="false">cleaned_data!A104</f>
        <v>STR-1026</v>
      </c>
      <c r="B106" s="3" t="n">
        <f aca="false">cleaned_data!B104</f>
        <v>45717</v>
      </c>
      <c r="C106" s="1" t="str">
        <f aca="false">cleaned_data!D104</f>
        <v>Mall</v>
      </c>
      <c r="D106" s="1" t="str">
        <f aca="false">cleaned_data!C104</f>
        <v>East</v>
      </c>
      <c r="E106" s="24" t="n">
        <f aca="false">cleaned_data!M104</f>
        <v>740102.64</v>
      </c>
      <c r="F106" s="24" t="n">
        <f aca="false">multiple_regression!B343+multiple_regression!B331*cleaned_data!F104+multiple_regression!B332*cleaned_data!E104+multiple_regression!B333*cleaned_data!H104+multiple_regression!B334*cleaned_data!I104+multiple_regression!B335*cleaned_data!G104+multiple_regression!B336*cleaned_data!K104+multiple_regression!B337*dummy_variables!E107+multiple_regression!B338*dummy_variables!F107+multiple_regression!B339*dummy_variables!G107+multiple_regression!B340*dummy_variables!H107+multiple_regression!B341*dummy_variables!I107+multiple_regression!B342*dummy_variables!J107</f>
        <v>708172.09765324</v>
      </c>
      <c r="G106" s="24" t="n">
        <f aca="false">E106-F106</f>
        <v>31930.5423467604</v>
      </c>
    </row>
    <row r="107" customFormat="false" ht="15" hidden="false" customHeight="true" outlineLevel="0" collapsed="false">
      <c r="A107" s="1" t="str">
        <f aca="false">cleaned_data!A105</f>
        <v>STR-1026</v>
      </c>
      <c r="B107" s="3" t="n">
        <f aca="false">cleaned_data!B105</f>
        <v>45748</v>
      </c>
      <c r="C107" s="1" t="str">
        <f aca="false">cleaned_data!D105</f>
        <v>Mall</v>
      </c>
      <c r="D107" s="1" t="str">
        <f aca="false">cleaned_data!C105</f>
        <v>East</v>
      </c>
      <c r="E107" s="24" t="n">
        <f aca="false">cleaned_data!M105</f>
        <v>625514.04</v>
      </c>
      <c r="F107" s="24" t="n">
        <f aca="false">multiple_regression!B343+multiple_regression!B331*cleaned_data!F105+multiple_regression!B332*cleaned_data!E105+multiple_regression!B333*cleaned_data!H105+multiple_regression!B334*cleaned_data!I105+multiple_regression!B335*cleaned_data!G105+multiple_regression!B336*cleaned_data!K105+multiple_regression!B337*dummy_variables!E108+multiple_regression!B338*dummy_variables!F108+multiple_regression!B339*dummy_variables!G108+multiple_regression!B340*dummy_variables!H108+multiple_regression!B341*dummy_variables!I108+multiple_regression!B342*dummy_variables!J108</f>
        <v>520808.576984257</v>
      </c>
      <c r="G107" s="24" t="n">
        <f aca="false">E107-F107</f>
        <v>104705.463015743</v>
      </c>
    </row>
    <row r="108" customFormat="false" ht="15" hidden="false" customHeight="true" outlineLevel="0" collapsed="false">
      <c r="A108" s="1" t="str">
        <f aca="false">cleaned_data!A106</f>
        <v>STR-1027</v>
      </c>
      <c r="B108" s="3" t="n">
        <f aca="false">cleaned_data!B106</f>
        <v>45658</v>
      </c>
      <c r="C108" s="1" t="str">
        <f aca="false">cleaned_data!D106</f>
        <v>High Street</v>
      </c>
      <c r="D108" s="1" t="str">
        <f aca="false">cleaned_data!C106</f>
        <v>West</v>
      </c>
      <c r="E108" s="24" t="n">
        <f aca="false">cleaned_data!M106</f>
        <v>727227.2</v>
      </c>
      <c r="F108" s="24" t="n">
        <f aca="false">multiple_regression!B343+multiple_regression!B331*cleaned_data!F106+multiple_regression!B332*cleaned_data!E106+multiple_regression!B333*cleaned_data!H106+multiple_regression!B334*cleaned_data!I106+multiple_regression!B335*cleaned_data!G106+multiple_regression!B336*cleaned_data!K106+multiple_regression!B337*dummy_variables!E109+multiple_regression!B338*dummy_variables!F109+multiple_regression!B339*dummy_variables!G109+multiple_regression!B340*dummy_variables!H109+multiple_regression!B341*dummy_variables!I109+multiple_regression!B342*dummy_variables!J109</f>
        <v>708741.314395698</v>
      </c>
      <c r="G108" s="24" t="n">
        <f aca="false">E108-F108</f>
        <v>18485.8856043019</v>
      </c>
    </row>
    <row r="109" customFormat="false" ht="15" hidden="false" customHeight="true" outlineLevel="0" collapsed="false">
      <c r="A109" s="1" t="str">
        <f aca="false">cleaned_data!A107</f>
        <v>STR-1027</v>
      </c>
      <c r="B109" s="3" t="n">
        <f aca="false">cleaned_data!B107</f>
        <v>45689</v>
      </c>
      <c r="C109" s="1" t="str">
        <f aca="false">cleaned_data!D107</f>
        <v>High Street</v>
      </c>
      <c r="D109" s="1" t="str">
        <f aca="false">cleaned_data!C107</f>
        <v>West</v>
      </c>
      <c r="E109" s="24" t="n">
        <f aca="false">cleaned_data!M107</f>
        <v>783797.89</v>
      </c>
      <c r="F109" s="24" t="n">
        <f aca="false">multiple_regression!B343+multiple_regression!B331*cleaned_data!F107+multiple_regression!B332*cleaned_data!E107+multiple_regression!B333*cleaned_data!H107+multiple_regression!B334*cleaned_data!I107+multiple_regression!B335*cleaned_data!G107+multiple_regression!B336*cleaned_data!K107+multiple_regression!B337*dummy_variables!E110+multiple_regression!B338*dummy_variables!F110+multiple_regression!B339*dummy_variables!G110+multiple_regression!B340*dummy_variables!H110+multiple_regression!B341*dummy_variables!I110+multiple_regression!B342*dummy_variables!J110</f>
        <v>797450.853047104</v>
      </c>
      <c r="G109" s="24" t="n">
        <f aca="false">E109-F109</f>
        <v>-13652.9630471041</v>
      </c>
    </row>
    <row r="110" customFormat="false" ht="15" hidden="false" customHeight="true" outlineLevel="0" collapsed="false">
      <c r="A110" s="1" t="str">
        <f aca="false">cleaned_data!A108</f>
        <v>STR-1027</v>
      </c>
      <c r="B110" s="3" t="n">
        <f aca="false">cleaned_data!B108</f>
        <v>45717</v>
      </c>
      <c r="C110" s="1" t="str">
        <f aca="false">cleaned_data!D108</f>
        <v>High Street</v>
      </c>
      <c r="D110" s="1" t="str">
        <f aca="false">cleaned_data!C108</f>
        <v>West</v>
      </c>
      <c r="E110" s="24" t="n">
        <f aca="false">cleaned_data!M108</f>
        <v>795153.84</v>
      </c>
      <c r="F110" s="24" t="n">
        <f aca="false">multiple_regression!B343+multiple_regression!B331*cleaned_data!F108+multiple_regression!B332*cleaned_data!E108+multiple_regression!B333*cleaned_data!H108+multiple_regression!B334*cleaned_data!I108+multiple_regression!B335*cleaned_data!G108+multiple_regression!B336*cleaned_data!K108+multiple_regression!B337*dummy_variables!E111+multiple_regression!B338*dummy_variables!F111+multiple_regression!B339*dummy_variables!G111+multiple_regression!B340*dummy_variables!H111+multiple_regression!B341*dummy_variables!I111+multiple_regression!B342*dummy_variables!J111</f>
        <v>718515.725380889</v>
      </c>
      <c r="G110" s="24" t="n">
        <f aca="false">E110-F110</f>
        <v>76638.1146191111</v>
      </c>
    </row>
    <row r="111" customFormat="false" ht="15" hidden="false" customHeight="true" outlineLevel="0" collapsed="false">
      <c r="A111" s="1" t="str">
        <f aca="false">cleaned_data!A109</f>
        <v>STR-1027</v>
      </c>
      <c r="B111" s="3" t="n">
        <f aca="false">cleaned_data!B109</f>
        <v>45748</v>
      </c>
      <c r="C111" s="1" t="str">
        <f aca="false">cleaned_data!D109</f>
        <v>High Street</v>
      </c>
      <c r="D111" s="1" t="str">
        <f aca="false">cleaned_data!C109</f>
        <v>West</v>
      </c>
      <c r="E111" s="24" t="n">
        <f aca="false">cleaned_data!M109</f>
        <v>665594.94</v>
      </c>
      <c r="F111" s="24" t="n">
        <f aca="false">multiple_regression!B343+multiple_regression!B331*cleaned_data!F109+multiple_regression!B332*cleaned_data!E109+multiple_regression!B333*cleaned_data!H109+multiple_regression!B334*cleaned_data!I109+multiple_regression!B335*cleaned_data!G109+multiple_regression!B336*cleaned_data!K109+multiple_regression!B337*dummy_variables!E112+multiple_regression!B338*dummy_variables!F112+multiple_regression!B339*dummy_variables!G112+multiple_regression!B340*dummy_variables!H112+multiple_regression!B341*dummy_variables!I112+multiple_regression!B342*dummy_variables!J112</f>
        <v>668921.173129032</v>
      </c>
      <c r="G111" s="24" t="n">
        <f aca="false">E111-F111</f>
        <v>-3326.23312903231</v>
      </c>
    </row>
    <row r="112" customFormat="false" ht="15" hidden="false" customHeight="true" outlineLevel="0" collapsed="false">
      <c r="A112" s="1" t="str">
        <f aca="false">cleaned_data!A110</f>
        <v>STR-1028</v>
      </c>
      <c r="B112" s="3" t="n">
        <f aca="false">cleaned_data!B110</f>
        <v>45658</v>
      </c>
      <c r="C112" s="1" t="str">
        <f aca="false">cleaned_data!D110</f>
        <v>Mall</v>
      </c>
      <c r="D112" s="1" t="str">
        <f aca="false">cleaned_data!C110</f>
        <v>East</v>
      </c>
      <c r="E112" s="24" t="n">
        <f aca="false">cleaned_data!M110</f>
        <v>709478.39</v>
      </c>
      <c r="F112" s="24" t="n">
        <f aca="false">multiple_regression!B343+multiple_regression!B331*cleaned_data!F110+multiple_regression!B332*cleaned_data!E110+multiple_regression!B333*cleaned_data!H110+multiple_regression!B334*cleaned_data!I110+multiple_regression!B335*cleaned_data!G110+multiple_regression!B336*cleaned_data!K110+multiple_regression!B337*dummy_variables!E113+multiple_regression!B338*dummy_variables!F113+multiple_regression!B339*dummy_variables!G113+multiple_regression!B340*dummy_variables!H113+multiple_regression!B341*dummy_variables!I113+multiple_regression!B342*dummy_variables!J113</f>
        <v>694298.597634698</v>
      </c>
      <c r="G112" s="24" t="n">
        <f aca="false">E112-F112</f>
        <v>15179.7923653019</v>
      </c>
    </row>
    <row r="113" customFormat="false" ht="15" hidden="false" customHeight="true" outlineLevel="0" collapsed="false">
      <c r="A113" s="1" t="str">
        <f aca="false">cleaned_data!A111</f>
        <v>STR-1028</v>
      </c>
      <c r="B113" s="3" t="n">
        <f aca="false">cleaned_data!B111</f>
        <v>45689</v>
      </c>
      <c r="C113" s="1" t="str">
        <f aca="false">cleaned_data!D111</f>
        <v>Mall</v>
      </c>
      <c r="D113" s="1" t="str">
        <f aca="false">cleaned_data!C111</f>
        <v>East</v>
      </c>
      <c r="E113" s="24" t="n">
        <f aca="false">cleaned_data!M111</f>
        <v>664162.49</v>
      </c>
      <c r="F113" s="24" t="n">
        <f aca="false">multiple_regression!B343+multiple_regression!B331*cleaned_data!F111+multiple_regression!B332*cleaned_data!E111+multiple_regression!B333*cleaned_data!H111+multiple_regression!B334*cleaned_data!I111+multiple_regression!B335*cleaned_data!G111+multiple_regression!B336*cleaned_data!K111+multiple_regression!B337*dummy_variables!E114+multiple_regression!B338*dummy_variables!F114+multiple_regression!B339*dummy_variables!G114+multiple_regression!B340*dummy_variables!H114+multiple_regression!B341*dummy_variables!I114+multiple_regression!B342*dummy_variables!J114</f>
        <v>640497.212604769</v>
      </c>
      <c r="G113" s="24" t="n">
        <f aca="false">E113-F113</f>
        <v>23665.2773952313</v>
      </c>
    </row>
    <row r="114" customFormat="false" ht="15" hidden="false" customHeight="true" outlineLevel="0" collapsed="false">
      <c r="A114" s="1" t="str">
        <f aca="false">cleaned_data!A112</f>
        <v>STR-1028</v>
      </c>
      <c r="B114" s="3" t="n">
        <f aca="false">cleaned_data!B112</f>
        <v>45717</v>
      </c>
      <c r="C114" s="1" t="str">
        <f aca="false">cleaned_data!D112</f>
        <v>Mall</v>
      </c>
      <c r="D114" s="1" t="str">
        <f aca="false">cleaned_data!C112</f>
        <v>East</v>
      </c>
      <c r="E114" s="24" t="n">
        <f aca="false">cleaned_data!M112</f>
        <v>633494.21</v>
      </c>
      <c r="F114" s="24" t="n">
        <f aca="false">multiple_regression!B343+multiple_regression!B331*cleaned_data!F112+multiple_regression!B332*cleaned_data!E112+multiple_regression!B333*cleaned_data!H112+multiple_regression!B334*cleaned_data!I112+multiple_regression!B335*cleaned_data!G112+multiple_regression!B336*cleaned_data!K112+multiple_regression!B337*dummy_variables!E115+multiple_regression!B338*dummy_variables!F115+multiple_regression!B339*dummy_variables!G115+multiple_regression!B340*dummy_variables!H115+multiple_regression!B341*dummy_variables!I115+multiple_regression!B342*dummy_variables!J115</f>
        <v>645127.622265611</v>
      </c>
      <c r="G114" s="24" t="n">
        <f aca="false">E114-F114</f>
        <v>-11633.4122656112</v>
      </c>
    </row>
    <row r="115" customFormat="false" ht="15" hidden="false" customHeight="true" outlineLevel="0" collapsed="false">
      <c r="A115" s="1" t="str">
        <f aca="false">cleaned_data!A113</f>
        <v>STR-1028</v>
      </c>
      <c r="B115" s="3" t="n">
        <f aca="false">cleaned_data!B113</f>
        <v>45748</v>
      </c>
      <c r="C115" s="1" t="str">
        <f aca="false">cleaned_data!D113</f>
        <v>Mall</v>
      </c>
      <c r="D115" s="1" t="str">
        <f aca="false">cleaned_data!C113</f>
        <v>East</v>
      </c>
      <c r="E115" s="24" t="n">
        <f aca="false">cleaned_data!M113</f>
        <v>713611.16</v>
      </c>
      <c r="F115" s="24" t="n">
        <f aca="false">multiple_regression!B343+multiple_regression!B331*cleaned_data!F113+multiple_regression!B332*cleaned_data!E113+multiple_regression!B333*cleaned_data!H113+multiple_regression!B334*cleaned_data!I113+multiple_regression!B335*cleaned_data!G113+multiple_regression!B336*cleaned_data!K113+multiple_regression!B337*dummy_variables!E116+multiple_regression!B338*dummy_variables!F116+multiple_regression!B339*dummy_variables!G116+multiple_regression!B340*dummy_variables!H116+multiple_regression!B341*dummy_variables!I116+multiple_regression!B342*dummy_variables!J116</f>
        <v>605688.954328846</v>
      </c>
      <c r="G115" s="24" t="n">
        <f aca="false">E115-F115</f>
        <v>107922.205671154</v>
      </c>
    </row>
    <row r="116" customFormat="false" ht="15" hidden="false" customHeight="true" outlineLevel="0" collapsed="false">
      <c r="A116" s="1" t="str">
        <f aca="false">cleaned_data!A114</f>
        <v>STR-1029</v>
      </c>
      <c r="B116" s="3" t="n">
        <f aca="false">cleaned_data!B114</f>
        <v>45658</v>
      </c>
      <c r="C116" s="1" t="str">
        <f aca="false">cleaned_data!D114</f>
        <v>Mall</v>
      </c>
      <c r="D116" s="1" t="str">
        <f aca="false">cleaned_data!C114</f>
        <v>West</v>
      </c>
      <c r="E116" s="24" t="n">
        <f aca="false">cleaned_data!M114</f>
        <v>778397.97</v>
      </c>
      <c r="F116" s="24" t="n">
        <f aca="false">multiple_regression!B343+multiple_regression!B331*cleaned_data!F114+multiple_regression!B332*cleaned_data!E114+multiple_regression!B333*cleaned_data!H114+multiple_regression!B334*cleaned_data!I114+multiple_regression!B335*cleaned_data!G114+multiple_regression!B336*cleaned_data!K114+multiple_regression!B337*dummy_variables!E117+multiple_regression!B338*dummy_variables!F117+multiple_regression!B339*dummy_variables!G117+multiple_regression!B340*dummy_variables!H117+multiple_regression!B341*dummy_variables!I117+multiple_regression!B342*dummy_variables!J117</f>
        <v>750856.545177716</v>
      </c>
      <c r="G116" s="24" t="n">
        <f aca="false">E116-F116</f>
        <v>27541.4248222845</v>
      </c>
    </row>
    <row r="117" customFormat="false" ht="15" hidden="false" customHeight="true" outlineLevel="0" collapsed="false">
      <c r="A117" s="1" t="str">
        <f aca="false">cleaned_data!A115</f>
        <v>STR-1029</v>
      </c>
      <c r="B117" s="3" t="n">
        <f aca="false">cleaned_data!B115</f>
        <v>45689</v>
      </c>
      <c r="C117" s="1" t="str">
        <f aca="false">cleaned_data!D115</f>
        <v>Mall</v>
      </c>
      <c r="D117" s="1" t="str">
        <f aca="false">cleaned_data!C115</f>
        <v>West</v>
      </c>
      <c r="E117" s="24" t="n">
        <f aca="false">cleaned_data!M115</f>
        <v>873380.02</v>
      </c>
      <c r="F117" s="24" t="n">
        <f aca="false">multiple_regression!B343+multiple_regression!B331*cleaned_data!F115+multiple_regression!B332*cleaned_data!E115+multiple_regression!B333*cleaned_data!H115+multiple_regression!B334*cleaned_data!I115+multiple_regression!B335*cleaned_data!G115+multiple_regression!B336*cleaned_data!K115+multiple_regression!B337*dummy_variables!E118+multiple_regression!B338*dummy_variables!F118+multiple_regression!B339*dummy_variables!G118+multiple_regression!B340*dummy_variables!H118+multiple_regression!B341*dummy_variables!I118+multiple_regression!B342*dummy_variables!J118</f>
        <v>842972.08967166</v>
      </c>
      <c r="G117" s="24" t="n">
        <f aca="false">E117-F117</f>
        <v>30407.9303283396</v>
      </c>
    </row>
    <row r="118" customFormat="false" ht="15" hidden="false" customHeight="true" outlineLevel="0" collapsed="false">
      <c r="A118" s="1" t="str">
        <f aca="false">cleaned_data!A116</f>
        <v>STR-1029</v>
      </c>
      <c r="B118" s="3" t="n">
        <f aca="false">cleaned_data!B116</f>
        <v>45717</v>
      </c>
      <c r="C118" s="1" t="str">
        <f aca="false">cleaned_data!D116</f>
        <v>Mall</v>
      </c>
      <c r="D118" s="1" t="str">
        <f aca="false">cleaned_data!C116</f>
        <v>West</v>
      </c>
      <c r="E118" s="24" t="n">
        <f aca="false">cleaned_data!M116</f>
        <v>697287.9</v>
      </c>
      <c r="F118" s="24" t="n">
        <f aca="false">multiple_regression!B343+multiple_regression!B331*cleaned_data!F116+multiple_regression!B332*cleaned_data!E116+multiple_regression!B333*cleaned_data!H116+multiple_regression!B334*cleaned_data!I116+multiple_regression!B335*cleaned_data!G116+multiple_regression!B336*cleaned_data!K116+multiple_regression!B337*dummy_variables!E119+multiple_regression!B338*dummy_variables!F119+multiple_regression!B339*dummy_variables!G119+multiple_regression!B340*dummy_variables!H119+multiple_regression!B341*dummy_variables!I119+multiple_regression!B342*dummy_variables!J119</f>
        <v>766099.574941504</v>
      </c>
      <c r="G118" s="24" t="n">
        <f aca="false">E118-F118</f>
        <v>-68811.6749415038</v>
      </c>
    </row>
    <row r="119" customFormat="false" ht="15" hidden="false" customHeight="true" outlineLevel="0" collapsed="false">
      <c r="A119" s="1" t="str">
        <f aca="false">cleaned_data!A117</f>
        <v>STR-1029</v>
      </c>
      <c r="B119" s="3" t="n">
        <f aca="false">cleaned_data!B117</f>
        <v>45748</v>
      </c>
      <c r="C119" s="1" t="str">
        <f aca="false">cleaned_data!D117</f>
        <v>Mall</v>
      </c>
      <c r="D119" s="1" t="str">
        <f aca="false">cleaned_data!C117</f>
        <v>West</v>
      </c>
      <c r="E119" s="24" t="n">
        <f aca="false">cleaned_data!M117</f>
        <v>718074.79</v>
      </c>
      <c r="F119" s="24" t="n">
        <f aca="false">multiple_regression!B343+multiple_regression!B331*cleaned_data!F117+multiple_regression!B332*cleaned_data!E117+multiple_regression!B333*cleaned_data!H117+multiple_regression!B334*cleaned_data!I117+multiple_regression!B335*cleaned_data!G117+multiple_regression!B336*cleaned_data!K117+multiple_regression!B337*dummy_variables!E120+multiple_regression!B338*dummy_variables!F120+multiple_regression!B339*dummy_variables!G120+multiple_regression!B340*dummy_variables!H120+multiple_regression!B341*dummy_variables!I120+multiple_regression!B342*dummy_variables!J120</f>
        <v>771409.381698188</v>
      </c>
      <c r="G119" s="24" t="n">
        <f aca="false">E119-F119</f>
        <v>-53334.5916981883</v>
      </c>
    </row>
    <row r="120" customFormat="false" ht="15" hidden="false" customHeight="true" outlineLevel="0" collapsed="false">
      <c r="A120" s="1" t="str">
        <f aca="false">cleaned_data!A118</f>
        <v>STR-1030</v>
      </c>
      <c r="B120" s="3" t="n">
        <f aca="false">cleaned_data!B118</f>
        <v>45658</v>
      </c>
      <c r="C120" s="1" t="str">
        <f aca="false">cleaned_data!D118</f>
        <v>Residential</v>
      </c>
      <c r="D120" s="1" t="str">
        <f aca="false">cleaned_data!C118</f>
        <v>West</v>
      </c>
      <c r="E120" s="24" t="n">
        <f aca="false">cleaned_data!M118</f>
        <v>714942.43</v>
      </c>
      <c r="F120" s="24" t="n">
        <f aca="false">multiple_regression!B343+multiple_regression!B331*cleaned_data!F118+multiple_regression!B332*cleaned_data!E118+multiple_regression!B333*cleaned_data!H118+multiple_regression!B334*cleaned_data!I118+multiple_regression!B335*cleaned_data!G118+multiple_regression!B336*cleaned_data!K118+multiple_regression!B337*dummy_variables!E121+multiple_regression!B338*dummy_variables!F121+multiple_regression!B339*dummy_variables!G121+multiple_regression!B340*dummy_variables!H121+multiple_regression!B341*dummy_variables!I121+multiple_regression!B342*dummy_variables!J121</f>
        <v>713042.995114107</v>
      </c>
      <c r="G120" s="24" t="n">
        <f aca="false">E120-F120</f>
        <v>1899.43488589348</v>
      </c>
    </row>
    <row r="121" customFormat="false" ht="15" hidden="false" customHeight="true" outlineLevel="0" collapsed="false">
      <c r="A121" s="1" t="str">
        <f aca="false">cleaned_data!A119</f>
        <v>STR-1030</v>
      </c>
      <c r="B121" s="3" t="n">
        <f aca="false">cleaned_data!B119</f>
        <v>45689</v>
      </c>
      <c r="C121" s="1" t="str">
        <f aca="false">cleaned_data!D119</f>
        <v>Residential</v>
      </c>
      <c r="D121" s="1" t="str">
        <f aca="false">cleaned_data!C119</f>
        <v>West</v>
      </c>
      <c r="E121" s="24" t="n">
        <f aca="false">cleaned_data!M119</f>
        <v>820519.04</v>
      </c>
      <c r="F121" s="24" t="n">
        <f aca="false">multiple_regression!B343+multiple_regression!B331*cleaned_data!F119+multiple_regression!B332*cleaned_data!E119+multiple_regression!B333*cleaned_data!H119+multiple_regression!B334*cleaned_data!I119+multiple_regression!B335*cleaned_data!G119+multiple_regression!B336*cleaned_data!K119+multiple_regression!B337*dummy_variables!E122+multiple_regression!B338*dummy_variables!F122+multiple_regression!B339*dummy_variables!G122+multiple_regression!B340*dummy_variables!H122+multiple_regression!B341*dummy_variables!I122+multiple_regression!B342*dummy_variables!J122</f>
        <v>716893.749343393</v>
      </c>
      <c r="G121" s="24" t="n">
        <f aca="false">E121-F121</f>
        <v>103625.290656607</v>
      </c>
    </row>
    <row r="122" customFormat="false" ht="15" hidden="false" customHeight="true" outlineLevel="0" collapsed="false">
      <c r="A122" s="1" t="str">
        <f aca="false">cleaned_data!A120</f>
        <v>STR-1030</v>
      </c>
      <c r="B122" s="3" t="n">
        <f aca="false">cleaned_data!B120</f>
        <v>45717</v>
      </c>
      <c r="C122" s="1" t="str">
        <f aca="false">cleaned_data!D120</f>
        <v>Residential</v>
      </c>
      <c r="D122" s="1" t="str">
        <f aca="false">cleaned_data!C120</f>
        <v>West</v>
      </c>
      <c r="E122" s="24" t="n">
        <f aca="false">cleaned_data!M120</f>
        <v>684217.32</v>
      </c>
      <c r="F122" s="24" t="n">
        <f aca="false">multiple_regression!B343+multiple_regression!B331*cleaned_data!F120+multiple_regression!B332*cleaned_data!E120+multiple_regression!B333*cleaned_data!H120+multiple_regression!B334*cleaned_data!I120+multiple_regression!B335*cleaned_data!G120+multiple_regression!B336*cleaned_data!K120+multiple_regression!B337*dummy_variables!E123+multiple_regression!B338*dummy_variables!F123+multiple_regression!B339*dummy_variables!G123+multiple_regression!B340*dummy_variables!H123+multiple_regression!B341*dummy_variables!I123+multiple_regression!B342*dummy_variables!J123</f>
        <v>738206.549884251</v>
      </c>
      <c r="G122" s="24" t="n">
        <f aca="false">E122-F122</f>
        <v>-53989.229884251</v>
      </c>
    </row>
    <row r="123" customFormat="false" ht="15" hidden="false" customHeight="true" outlineLevel="0" collapsed="false">
      <c r="A123" s="1" t="str">
        <f aca="false">cleaned_data!A121</f>
        <v>STR-1030</v>
      </c>
      <c r="B123" s="3" t="n">
        <f aca="false">cleaned_data!B121</f>
        <v>45748</v>
      </c>
      <c r="C123" s="1" t="str">
        <f aca="false">cleaned_data!D121</f>
        <v>Residential</v>
      </c>
      <c r="D123" s="1" t="str">
        <f aca="false">cleaned_data!C121</f>
        <v>West</v>
      </c>
      <c r="E123" s="24" t="n">
        <f aca="false">cleaned_data!M121</f>
        <v>735480.19</v>
      </c>
      <c r="F123" s="24" t="n">
        <f aca="false">multiple_regression!B343+multiple_regression!B331*cleaned_data!F121+multiple_regression!B332*cleaned_data!E121+multiple_regression!B333*cleaned_data!H121+multiple_regression!B334*cleaned_data!I121+multiple_regression!B335*cleaned_data!G121+multiple_regression!B336*cleaned_data!K121+multiple_regression!B337*dummy_variables!E124+multiple_regression!B338*dummy_variables!F124+multiple_regression!B339*dummy_variables!G124+multiple_regression!B340*dummy_variables!H124+multiple_regression!B341*dummy_variables!I124+multiple_regression!B342*dummy_variables!J124</f>
        <v>727978.552626643</v>
      </c>
      <c r="G123" s="24" t="n">
        <f aca="false">E123-F123</f>
        <v>7501.63737335673</v>
      </c>
    </row>
    <row r="124" customFormat="false" ht="15" hidden="false" customHeight="true" outlineLevel="0" collapsed="false">
      <c r="A124" s="1" t="str">
        <f aca="false">cleaned_data!A122</f>
        <v>STR-1031</v>
      </c>
      <c r="B124" s="3" t="n">
        <f aca="false">cleaned_data!B122</f>
        <v>45658</v>
      </c>
      <c r="C124" s="1" t="str">
        <f aca="false">cleaned_data!D122</f>
        <v>High Street</v>
      </c>
      <c r="D124" s="1" t="str">
        <f aca="false">cleaned_data!C122</f>
        <v>North</v>
      </c>
      <c r="E124" s="24" t="n">
        <f aca="false">cleaned_data!M122</f>
        <v>509484.81</v>
      </c>
      <c r="F124" s="24" t="n">
        <f aca="false">multiple_regression!B343+multiple_regression!B331*cleaned_data!F122+multiple_regression!B332*cleaned_data!E122+multiple_regression!B333*cleaned_data!H122+multiple_regression!B334*cleaned_data!I122+multiple_regression!B335*cleaned_data!G122+multiple_regression!B336*cleaned_data!K122+multiple_regression!B337*dummy_variables!E125+multiple_regression!B338*dummy_variables!F125+multiple_regression!B339*dummy_variables!G125+multiple_regression!B340*dummy_variables!H125+multiple_regression!B341*dummy_variables!I125+multiple_regression!B342*dummy_variables!J125</f>
        <v>560532.125463462</v>
      </c>
      <c r="G124" s="24" t="n">
        <f aca="false">E124-F124</f>
        <v>-51047.3154634623</v>
      </c>
    </row>
    <row r="125" customFormat="false" ht="15" hidden="false" customHeight="true" outlineLevel="0" collapsed="false">
      <c r="A125" s="1" t="str">
        <f aca="false">cleaned_data!A123</f>
        <v>STR-1031</v>
      </c>
      <c r="B125" s="3" t="n">
        <f aca="false">cleaned_data!B123</f>
        <v>45689</v>
      </c>
      <c r="C125" s="1" t="str">
        <f aca="false">cleaned_data!D123</f>
        <v>High Street</v>
      </c>
      <c r="D125" s="1" t="str">
        <f aca="false">cleaned_data!C123</f>
        <v>North</v>
      </c>
      <c r="E125" s="24" t="n">
        <f aca="false">cleaned_data!M123</f>
        <v>654317.09</v>
      </c>
      <c r="F125" s="24" t="n">
        <f aca="false">multiple_regression!B343+multiple_regression!B331*cleaned_data!F123+multiple_regression!B332*cleaned_data!E123+multiple_regression!B333*cleaned_data!H123+multiple_regression!B334*cleaned_data!I123+multiple_regression!B335*cleaned_data!G123+multiple_regression!B336*cleaned_data!K123+multiple_regression!B337*dummy_variables!E126+multiple_regression!B338*dummy_variables!F126+multiple_regression!B339*dummy_variables!G126+multiple_regression!B340*dummy_variables!H126+multiple_regression!B341*dummy_variables!I126+multiple_regression!B342*dummy_variables!J126</f>
        <v>628098.771734614</v>
      </c>
      <c r="G125" s="24" t="n">
        <f aca="false">E125-F125</f>
        <v>26218.3182653858</v>
      </c>
    </row>
    <row r="126" customFormat="false" ht="15" hidden="false" customHeight="true" outlineLevel="0" collapsed="false">
      <c r="A126" s="1" t="str">
        <f aca="false">cleaned_data!A124</f>
        <v>STR-1031</v>
      </c>
      <c r="B126" s="3" t="n">
        <f aca="false">cleaned_data!B124</f>
        <v>45717</v>
      </c>
      <c r="C126" s="1" t="str">
        <f aca="false">cleaned_data!D124</f>
        <v>High Street</v>
      </c>
      <c r="D126" s="1" t="str">
        <f aca="false">cleaned_data!C124</f>
        <v>North</v>
      </c>
      <c r="E126" s="24" t="n">
        <f aca="false">cleaned_data!M124</f>
        <v>557487.26</v>
      </c>
      <c r="F126" s="24" t="n">
        <f aca="false">multiple_regression!B343+multiple_regression!B331*cleaned_data!F124+multiple_regression!B332*cleaned_data!E124+multiple_regression!B333*cleaned_data!H124+multiple_regression!B334*cleaned_data!I124+multiple_regression!B335*cleaned_data!G124+multiple_regression!B336*cleaned_data!K124+multiple_regression!B337*dummy_variables!E127+multiple_regression!B338*dummy_variables!F127+multiple_regression!B339*dummy_variables!G127+multiple_regression!B340*dummy_variables!H127+multiple_regression!B341*dummy_variables!I127+multiple_regression!B342*dummy_variables!J127</f>
        <v>596869.612808493</v>
      </c>
      <c r="G126" s="24" t="n">
        <f aca="false">E126-F126</f>
        <v>-39382.3528084932</v>
      </c>
    </row>
    <row r="127" customFormat="false" ht="15" hidden="false" customHeight="true" outlineLevel="0" collapsed="false">
      <c r="A127" s="1" t="str">
        <f aca="false">cleaned_data!A125</f>
        <v>STR-1031</v>
      </c>
      <c r="B127" s="3" t="n">
        <f aca="false">cleaned_data!B125</f>
        <v>45748</v>
      </c>
      <c r="C127" s="1" t="str">
        <f aca="false">cleaned_data!D125</f>
        <v>High Street</v>
      </c>
      <c r="D127" s="1" t="str">
        <f aca="false">cleaned_data!C125</f>
        <v>North</v>
      </c>
      <c r="E127" s="24" t="n">
        <f aca="false">cleaned_data!M125</f>
        <v>441275.42</v>
      </c>
      <c r="F127" s="24" t="n">
        <f aca="false">multiple_regression!B343+multiple_regression!B331*cleaned_data!F125+multiple_regression!B332*cleaned_data!E125+multiple_regression!B333*cleaned_data!H125+multiple_regression!B334*cleaned_data!I125+multiple_regression!B335*cleaned_data!G125+multiple_regression!B336*cleaned_data!K125+multiple_regression!B337*dummy_variables!E128+multiple_regression!B338*dummy_variables!F128+multiple_regression!B339*dummy_variables!G128+multiple_regression!B340*dummy_variables!H128+multiple_regression!B341*dummy_variables!I128+multiple_regression!B342*dummy_variables!J128</f>
        <v>506790.591165926</v>
      </c>
      <c r="G127" s="24" t="n">
        <f aca="false">E127-F127</f>
        <v>-65515.1711659259</v>
      </c>
    </row>
    <row r="128" customFormat="false" ht="15" hidden="false" customHeight="true" outlineLevel="0" collapsed="false">
      <c r="A128" s="1" t="str">
        <f aca="false">cleaned_data!A126</f>
        <v>STR-1032</v>
      </c>
      <c r="B128" s="3" t="n">
        <f aca="false">cleaned_data!B126</f>
        <v>45658</v>
      </c>
      <c r="C128" s="1" t="str">
        <f aca="false">cleaned_data!D126</f>
        <v>High Street</v>
      </c>
      <c r="D128" s="1" t="str">
        <f aca="false">cleaned_data!C126</f>
        <v>South</v>
      </c>
      <c r="E128" s="24" t="n">
        <f aca="false">cleaned_data!M126</f>
        <v>914544.17</v>
      </c>
      <c r="F128" s="24" t="n">
        <f aca="false">multiple_regression!B343+multiple_regression!B331*cleaned_data!F126+multiple_regression!B332*cleaned_data!E126+multiple_regression!B333*cleaned_data!H126+multiple_regression!B334*cleaned_data!I126+multiple_regression!B335*cleaned_data!G126+multiple_regression!B336*cleaned_data!K126+multiple_regression!B337*dummy_variables!E129+multiple_regression!B338*dummy_variables!F129+multiple_regression!B339*dummy_variables!G129+multiple_regression!B340*dummy_variables!H129+multiple_regression!B341*dummy_variables!I129+multiple_regression!B342*dummy_variables!J129</f>
        <v>842238.226865657</v>
      </c>
      <c r="G128" s="24" t="n">
        <f aca="false">E128-F128</f>
        <v>72305.9431343434</v>
      </c>
    </row>
    <row r="129" customFormat="false" ht="15" hidden="false" customHeight="true" outlineLevel="0" collapsed="false">
      <c r="A129" s="1" t="str">
        <f aca="false">cleaned_data!A127</f>
        <v>STR-1032</v>
      </c>
      <c r="B129" s="3" t="n">
        <f aca="false">cleaned_data!B127</f>
        <v>45689</v>
      </c>
      <c r="C129" s="1" t="str">
        <f aca="false">cleaned_data!D127</f>
        <v>High Street</v>
      </c>
      <c r="D129" s="1" t="str">
        <f aca="false">cleaned_data!C127</f>
        <v>South</v>
      </c>
      <c r="E129" s="24" t="n">
        <f aca="false">cleaned_data!M127</f>
        <v>842439.67</v>
      </c>
      <c r="F129" s="24" t="n">
        <f aca="false">multiple_regression!B343+multiple_regression!B331*cleaned_data!F127+multiple_regression!B332*cleaned_data!E127+multiple_regression!B333*cleaned_data!H127+multiple_regression!B334*cleaned_data!I127+multiple_regression!B335*cleaned_data!G127+multiple_regression!B336*cleaned_data!K127+multiple_regression!B337*dummy_variables!E130+multiple_regression!B338*dummy_variables!F130+multiple_regression!B339*dummy_variables!G130+multiple_regression!B340*dummy_variables!H130+multiple_regression!B341*dummy_variables!I130+multiple_regression!B342*dummy_variables!J130</f>
        <v>860060.827671802</v>
      </c>
      <c r="G129" s="24" t="n">
        <f aca="false">E129-F129</f>
        <v>-17621.1576718015</v>
      </c>
    </row>
    <row r="130" customFormat="false" ht="15" hidden="false" customHeight="true" outlineLevel="0" collapsed="false">
      <c r="A130" s="1" t="str">
        <f aca="false">cleaned_data!A128</f>
        <v>STR-1032</v>
      </c>
      <c r="B130" s="3" t="n">
        <f aca="false">cleaned_data!B128</f>
        <v>45717</v>
      </c>
      <c r="C130" s="1" t="str">
        <f aca="false">cleaned_data!D128</f>
        <v>High Street</v>
      </c>
      <c r="D130" s="1" t="str">
        <f aca="false">cleaned_data!C128</f>
        <v>South</v>
      </c>
      <c r="E130" s="24" t="n">
        <f aca="false">cleaned_data!M128</f>
        <v>842157.92</v>
      </c>
      <c r="F130" s="24" t="n">
        <f aca="false">multiple_regression!B343+multiple_regression!B331*cleaned_data!F128+multiple_regression!B332*cleaned_data!E128+multiple_regression!B333*cleaned_data!H128+multiple_regression!B334*cleaned_data!I128+multiple_regression!B335*cleaned_data!G128+multiple_regression!B336*cleaned_data!K128+multiple_regression!B337*dummy_variables!E131+multiple_regression!B338*dummy_variables!F131+multiple_regression!B339*dummy_variables!G131+multiple_regression!B340*dummy_variables!H131+multiple_regression!B341*dummy_variables!I131+multiple_regression!B342*dummy_variables!J131</f>
        <v>794567.266946238</v>
      </c>
      <c r="G130" s="24" t="n">
        <f aca="false">E130-F130</f>
        <v>47590.6530537623</v>
      </c>
    </row>
    <row r="131" customFormat="false" ht="15" hidden="false" customHeight="true" outlineLevel="0" collapsed="false">
      <c r="A131" s="1" t="str">
        <f aca="false">cleaned_data!A129</f>
        <v>STR-1032</v>
      </c>
      <c r="B131" s="3" t="n">
        <f aca="false">cleaned_data!B129</f>
        <v>45748</v>
      </c>
      <c r="C131" s="1" t="str">
        <f aca="false">cleaned_data!D129</f>
        <v>High Street</v>
      </c>
      <c r="D131" s="1" t="str">
        <f aca="false">cleaned_data!C129</f>
        <v>South</v>
      </c>
      <c r="E131" s="24" t="n">
        <f aca="false">cleaned_data!M129</f>
        <v>697155.3</v>
      </c>
      <c r="F131" s="24" t="n">
        <f aca="false">multiple_regression!B343+multiple_regression!B331*cleaned_data!F129+multiple_regression!B332*cleaned_data!E129+multiple_regression!B333*cleaned_data!H129+multiple_regression!B334*cleaned_data!I129+multiple_regression!B335*cleaned_data!G129+multiple_regression!B336*cleaned_data!K129+multiple_regression!B337*dummy_variables!E132+multiple_regression!B338*dummy_variables!F132+multiple_regression!B339*dummy_variables!G132+multiple_regression!B340*dummy_variables!H132+multiple_regression!B341*dummy_variables!I132+multiple_regression!B342*dummy_variables!J132</f>
        <v>700984.281501302</v>
      </c>
      <c r="G131" s="24" t="n">
        <f aca="false">E131-F131</f>
        <v>-3828.98150130163</v>
      </c>
    </row>
    <row r="132" customFormat="false" ht="15" hidden="false" customHeight="true" outlineLevel="0" collapsed="false">
      <c r="A132" s="1" t="str">
        <f aca="false">cleaned_data!A130</f>
        <v>STR-1033</v>
      </c>
      <c r="B132" s="3" t="n">
        <f aca="false">cleaned_data!B130</f>
        <v>45658</v>
      </c>
      <c r="C132" s="1" t="str">
        <f aca="false">cleaned_data!D130</f>
        <v>High Street</v>
      </c>
      <c r="D132" s="1" t="str">
        <f aca="false">cleaned_data!C130</f>
        <v>East</v>
      </c>
      <c r="E132" s="24" t="n">
        <f aca="false">cleaned_data!M130</f>
        <v>849018.3</v>
      </c>
      <c r="F132" s="24" t="n">
        <f aca="false">multiple_regression!B343+multiple_regression!B331*cleaned_data!F130+multiple_regression!B332*cleaned_data!E130+multiple_regression!B333*cleaned_data!H130+multiple_regression!B334*cleaned_data!I130+multiple_regression!B335*cleaned_data!G130+multiple_regression!B336*cleaned_data!K130+multiple_regression!B337*dummy_variables!E133+multiple_regression!B338*dummy_variables!F133+multiple_regression!B339*dummy_variables!G133+multiple_regression!B340*dummy_variables!H133+multiple_regression!B341*dummy_variables!I133+multiple_regression!B342*dummy_variables!J133</f>
        <v>839909.918795589</v>
      </c>
      <c r="G132" s="24" t="n">
        <f aca="false">E132-F132</f>
        <v>9108.38120441092</v>
      </c>
    </row>
    <row r="133" customFormat="false" ht="15" hidden="false" customHeight="true" outlineLevel="0" collapsed="false">
      <c r="A133" s="1" t="str">
        <f aca="false">cleaned_data!A131</f>
        <v>STR-1033</v>
      </c>
      <c r="B133" s="3" t="n">
        <f aca="false">cleaned_data!B131</f>
        <v>45689</v>
      </c>
      <c r="C133" s="1" t="str">
        <f aca="false">cleaned_data!D131</f>
        <v>High Street</v>
      </c>
      <c r="D133" s="1" t="str">
        <f aca="false">cleaned_data!C131</f>
        <v>East</v>
      </c>
      <c r="E133" s="24" t="n">
        <f aca="false">cleaned_data!M131</f>
        <v>801830.35</v>
      </c>
      <c r="F133" s="24" t="n">
        <f aca="false">multiple_regression!B343+multiple_regression!B331*cleaned_data!F131+multiple_regression!B332*cleaned_data!E131+multiple_regression!B333*cleaned_data!H131+multiple_regression!B334*cleaned_data!I131+multiple_regression!B335*cleaned_data!G131+multiple_regression!B336*cleaned_data!K131+multiple_regression!B337*dummy_variables!E134+multiple_regression!B338*dummy_variables!F134+multiple_regression!B339*dummy_variables!G134+multiple_regression!B340*dummy_variables!H134+multiple_regression!B341*dummy_variables!I134+multiple_regression!B342*dummy_variables!J134</f>
        <v>794800.528584387</v>
      </c>
      <c r="G133" s="24" t="n">
        <f aca="false">E133-F133</f>
        <v>7029.82141561259</v>
      </c>
    </row>
    <row r="134" customFormat="false" ht="15" hidden="false" customHeight="true" outlineLevel="0" collapsed="false">
      <c r="A134" s="1" t="str">
        <f aca="false">cleaned_data!A132</f>
        <v>STR-1033</v>
      </c>
      <c r="B134" s="3" t="n">
        <f aca="false">cleaned_data!B132</f>
        <v>45717</v>
      </c>
      <c r="C134" s="1" t="str">
        <f aca="false">cleaned_data!D132</f>
        <v>High Street</v>
      </c>
      <c r="D134" s="1" t="str">
        <f aca="false">cleaned_data!C132</f>
        <v>East</v>
      </c>
      <c r="E134" s="24" t="n">
        <f aca="false">cleaned_data!M132</f>
        <v>725235.28</v>
      </c>
      <c r="F134" s="24" t="n">
        <f aca="false">multiple_regression!B343+multiple_regression!B331*cleaned_data!F132+multiple_regression!B332*cleaned_data!E132+multiple_regression!B333*cleaned_data!H132+multiple_regression!B334*cleaned_data!I132+multiple_regression!B335*cleaned_data!G132+multiple_regression!B336*cleaned_data!K132+multiple_regression!B337*dummy_variables!E135+multiple_regression!B338*dummy_variables!F135+multiple_regression!B339*dummy_variables!G135+multiple_regression!B340*dummy_variables!H135+multiple_regression!B341*dummy_variables!I135+multiple_regression!B342*dummy_variables!J135</f>
        <v>786402.779202069</v>
      </c>
      <c r="G134" s="24" t="n">
        <f aca="false">E134-F134</f>
        <v>-61167.4992020688</v>
      </c>
    </row>
    <row r="135" customFormat="false" ht="15" hidden="false" customHeight="true" outlineLevel="0" collapsed="false">
      <c r="A135" s="1" t="str">
        <f aca="false">cleaned_data!A133</f>
        <v>STR-1033</v>
      </c>
      <c r="B135" s="3" t="n">
        <f aca="false">cleaned_data!B133</f>
        <v>45748</v>
      </c>
      <c r="C135" s="1" t="str">
        <f aca="false">cleaned_data!D133</f>
        <v>High Street</v>
      </c>
      <c r="D135" s="1" t="str">
        <f aca="false">cleaned_data!C133</f>
        <v>East</v>
      </c>
      <c r="E135" s="24" t="n">
        <f aca="false">cleaned_data!M133</f>
        <v>811452.72</v>
      </c>
      <c r="F135" s="24" t="n">
        <f aca="false">multiple_regression!B343+multiple_regression!B331*cleaned_data!F133+multiple_regression!B332*cleaned_data!E133+multiple_regression!B333*cleaned_data!H133+multiple_regression!B334*cleaned_data!I133+multiple_regression!B335*cleaned_data!G133+multiple_regression!B336*cleaned_data!K133+multiple_regression!B337*dummy_variables!E136+multiple_regression!B338*dummy_variables!F136+multiple_regression!B339*dummy_variables!G136+multiple_regression!B340*dummy_variables!H136+multiple_regression!B341*dummy_variables!I136+multiple_regression!B342*dummy_variables!J136</f>
        <v>816661.816329836</v>
      </c>
      <c r="G135" s="24" t="n">
        <f aca="false">E135-F135</f>
        <v>-5209.09632983583</v>
      </c>
    </row>
    <row r="136" customFormat="false" ht="15" hidden="false" customHeight="true" outlineLevel="0" collapsed="false">
      <c r="A136" s="1" t="str">
        <f aca="false">cleaned_data!A134</f>
        <v>STR-1034</v>
      </c>
      <c r="B136" s="3" t="n">
        <f aca="false">cleaned_data!B134</f>
        <v>45658</v>
      </c>
      <c r="C136" s="1" t="str">
        <f aca="false">cleaned_data!D134</f>
        <v>High Street</v>
      </c>
      <c r="D136" s="1" t="str">
        <f aca="false">cleaned_data!C134</f>
        <v>North</v>
      </c>
      <c r="E136" s="24" t="n">
        <f aca="false">cleaned_data!M134</f>
        <v>527300.13</v>
      </c>
      <c r="F136" s="24" t="n">
        <f aca="false">multiple_regression!B343+multiple_regression!B331*cleaned_data!F134+multiple_regression!B332*cleaned_data!E134+multiple_regression!B333*cleaned_data!H134+multiple_regression!B334*cleaned_data!I134+multiple_regression!B335*cleaned_data!G134+multiple_regression!B336*cleaned_data!K134+multiple_regression!B337*dummy_variables!E137+multiple_regression!B338*dummy_variables!F137+multiple_regression!B339*dummy_variables!G137+multiple_regression!B340*dummy_variables!H137+multiple_regression!B341*dummy_variables!I137+multiple_regression!B342*dummy_variables!J137</f>
        <v>571520.018247297</v>
      </c>
      <c r="G136" s="24" t="n">
        <f aca="false">E136-F136</f>
        <v>-44219.8882472965</v>
      </c>
    </row>
    <row r="137" customFormat="false" ht="15" hidden="false" customHeight="true" outlineLevel="0" collapsed="false">
      <c r="A137" s="1" t="str">
        <f aca="false">cleaned_data!A135</f>
        <v>STR-1034</v>
      </c>
      <c r="B137" s="3" t="n">
        <f aca="false">cleaned_data!B135</f>
        <v>45689</v>
      </c>
      <c r="C137" s="1" t="str">
        <f aca="false">cleaned_data!D135</f>
        <v>High Street</v>
      </c>
      <c r="D137" s="1" t="str">
        <f aca="false">cleaned_data!C135</f>
        <v>North</v>
      </c>
      <c r="E137" s="24" t="n">
        <f aca="false">cleaned_data!M135</f>
        <v>400831.65</v>
      </c>
      <c r="F137" s="24" t="n">
        <f aca="false">multiple_regression!B343+multiple_regression!B331*cleaned_data!F135+multiple_regression!B332*cleaned_data!E135+multiple_regression!B333*cleaned_data!H135+multiple_regression!B334*cleaned_data!I135+multiple_regression!B335*cleaned_data!G135+multiple_regression!B336*cleaned_data!K135+multiple_regression!B337*dummy_variables!E138+multiple_regression!B338*dummy_variables!F138+multiple_regression!B339*dummy_variables!G138+multiple_regression!B340*dummy_variables!H138+multiple_regression!B341*dummy_variables!I138+multiple_regression!B342*dummy_variables!J138</f>
        <v>451987.664473999</v>
      </c>
      <c r="G137" s="24" t="n">
        <f aca="false">E137-F137</f>
        <v>-51156.0144739987</v>
      </c>
    </row>
    <row r="138" customFormat="false" ht="15" hidden="false" customHeight="true" outlineLevel="0" collapsed="false">
      <c r="A138" s="1" t="str">
        <f aca="false">cleaned_data!A136</f>
        <v>STR-1034</v>
      </c>
      <c r="B138" s="3" t="n">
        <f aca="false">cleaned_data!B136</f>
        <v>45717</v>
      </c>
      <c r="C138" s="1" t="str">
        <f aca="false">cleaned_data!D136</f>
        <v>High Street</v>
      </c>
      <c r="D138" s="1" t="str">
        <f aca="false">cleaned_data!C136</f>
        <v>North</v>
      </c>
      <c r="E138" s="24" t="n">
        <f aca="false">cleaned_data!M136</f>
        <v>593247.25</v>
      </c>
      <c r="F138" s="24" t="n">
        <f aca="false">multiple_regression!B343+multiple_regression!B331*cleaned_data!F136+multiple_regression!B332*cleaned_data!E136+multiple_regression!B333*cleaned_data!H136+multiple_regression!B334*cleaned_data!I136+multiple_regression!B335*cleaned_data!G136+multiple_regression!B336*cleaned_data!K136+multiple_regression!B337*dummy_variables!E139+multiple_regression!B338*dummy_variables!F139+multiple_regression!B339*dummy_variables!G139+multiple_regression!B340*dummy_variables!H139+multiple_regression!B341*dummy_variables!I139+multiple_regression!B342*dummy_variables!J139</f>
        <v>612064.697098278</v>
      </c>
      <c r="G138" s="24" t="n">
        <f aca="false">E138-F138</f>
        <v>-18817.4470982781</v>
      </c>
    </row>
    <row r="139" customFormat="false" ht="15" hidden="false" customHeight="true" outlineLevel="0" collapsed="false">
      <c r="A139" s="1" t="str">
        <f aca="false">cleaned_data!A137</f>
        <v>STR-1034</v>
      </c>
      <c r="B139" s="3" t="n">
        <f aca="false">cleaned_data!B137</f>
        <v>45748</v>
      </c>
      <c r="C139" s="1" t="str">
        <f aca="false">cleaned_data!D137</f>
        <v>High Street</v>
      </c>
      <c r="D139" s="1" t="str">
        <f aca="false">cleaned_data!C137</f>
        <v>North</v>
      </c>
      <c r="E139" s="24" t="n">
        <f aca="false">cleaned_data!M137</f>
        <v>529075.95</v>
      </c>
      <c r="F139" s="24" t="n">
        <f aca="false">multiple_regression!B343+multiple_regression!B331*cleaned_data!F137+multiple_regression!B332*cleaned_data!E137+multiple_regression!B333*cleaned_data!H137+multiple_regression!B334*cleaned_data!I137+multiple_regression!B335*cleaned_data!G137+multiple_regression!B336*cleaned_data!K137+multiple_regression!B337*dummy_variables!E140+multiple_regression!B338*dummy_variables!F140+multiple_regression!B339*dummy_variables!G140+multiple_regression!B340*dummy_variables!H140+multiple_regression!B341*dummy_variables!I140+multiple_regression!B342*dummy_variables!J140</f>
        <v>538999.804868858</v>
      </c>
      <c r="G139" s="24" t="n">
        <f aca="false">E139-F139</f>
        <v>-9923.85486885777</v>
      </c>
    </row>
    <row r="140" customFormat="false" ht="15" hidden="false" customHeight="true" outlineLevel="0" collapsed="false">
      <c r="A140" s="1" t="str">
        <f aca="false">cleaned_data!A138</f>
        <v>STR-1035</v>
      </c>
      <c r="B140" s="3" t="n">
        <f aca="false">cleaned_data!B138</f>
        <v>45658</v>
      </c>
      <c r="C140" s="1" t="str">
        <f aca="false">cleaned_data!D138</f>
        <v>Residential</v>
      </c>
      <c r="D140" s="1" t="str">
        <f aca="false">cleaned_data!C138</f>
        <v>South</v>
      </c>
      <c r="E140" s="24" t="n">
        <f aca="false">cleaned_data!M138</f>
        <v>633638.03</v>
      </c>
      <c r="F140" s="24" t="n">
        <f aca="false">multiple_regression!B343+multiple_regression!B331*cleaned_data!F138+multiple_regression!B332*cleaned_data!E138+multiple_regression!B333*cleaned_data!H138+multiple_regression!B334*cleaned_data!I138+multiple_regression!B335*cleaned_data!G138+multiple_regression!B336*cleaned_data!K138+multiple_regression!B337*dummy_variables!E141+multiple_regression!B338*dummy_variables!F141+multiple_regression!B339*dummy_variables!G141+multiple_regression!B340*dummy_variables!H141+multiple_regression!B341*dummy_variables!I141+multiple_regression!B342*dummy_variables!J141</f>
        <v>707550.448004821</v>
      </c>
      <c r="G140" s="24" t="n">
        <f aca="false">E140-F140</f>
        <v>-73912.4180048205</v>
      </c>
    </row>
    <row r="141" customFormat="false" ht="15" hidden="false" customHeight="true" outlineLevel="0" collapsed="false">
      <c r="A141" s="1" t="str">
        <f aca="false">cleaned_data!A139</f>
        <v>STR-1035</v>
      </c>
      <c r="B141" s="3" t="n">
        <f aca="false">cleaned_data!B139</f>
        <v>45689</v>
      </c>
      <c r="C141" s="1" t="str">
        <f aca="false">cleaned_data!D139</f>
        <v>Residential</v>
      </c>
      <c r="D141" s="1" t="str">
        <f aca="false">cleaned_data!C139</f>
        <v>South</v>
      </c>
      <c r="E141" s="24" t="n">
        <f aca="false">cleaned_data!M139</f>
        <v>743348.84</v>
      </c>
      <c r="F141" s="24" t="n">
        <f aca="false">multiple_regression!B343+multiple_regression!B331*cleaned_data!F139+multiple_regression!B332*cleaned_data!E139+multiple_regression!B333*cleaned_data!H139+multiple_regression!B334*cleaned_data!I139+multiple_regression!B335*cleaned_data!G139+multiple_regression!B336*cleaned_data!K139+multiple_regression!B337*dummy_variables!E142+multiple_regression!B338*dummy_variables!F142+multiple_regression!B339*dummy_variables!G142+multiple_regression!B340*dummy_variables!H142+multiple_regression!B341*dummy_variables!I142+multiple_regression!B342*dummy_variables!J142</f>
        <v>704425.478386205</v>
      </c>
      <c r="G141" s="24" t="n">
        <f aca="false">E141-F141</f>
        <v>38923.3616137946</v>
      </c>
    </row>
    <row r="142" customFormat="false" ht="15" hidden="false" customHeight="true" outlineLevel="0" collapsed="false">
      <c r="A142" s="1" t="str">
        <f aca="false">cleaned_data!A140</f>
        <v>STR-1035</v>
      </c>
      <c r="B142" s="3" t="n">
        <f aca="false">cleaned_data!B140</f>
        <v>45717</v>
      </c>
      <c r="C142" s="1" t="str">
        <f aca="false">cleaned_data!D140</f>
        <v>Residential</v>
      </c>
      <c r="D142" s="1" t="str">
        <f aca="false">cleaned_data!C140</f>
        <v>South</v>
      </c>
      <c r="E142" s="24" t="n">
        <f aca="false">cleaned_data!M140</f>
        <v>758827.64</v>
      </c>
      <c r="F142" s="24" t="n">
        <f aca="false">multiple_regression!B343+multiple_regression!B331*cleaned_data!F140+multiple_regression!B332*cleaned_data!E140+multiple_regression!B333*cleaned_data!H140+multiple_regression!B334*cleaned_data!I140+multiple_regression!B335*cleaned_data!G140+multiple_regression!B336*cleaned_data!K140+multiple_regression!B337*dummy_variables!E143+multiple_regression!B338*dummy_variables!F143+multiple_regression!B339*dummy_variables!G143+multiple_regression!B340*dummy_variables!H143+multiple_regression!B341*dummy_variables!I143+multiple_regression!B342*dummy_variables!J143</f>
        <v>709779.136526715</v>
      </c>
      <c r="G142" s="24" t="n">
        <f aca="false">E142-F142</f>
        <v>49048.503473285</v>
      </c>
    </row>
    <row r="143" customFormat="false" ht="15" hidden="false" customHeight="true" outlineLevel="0" collapsed="false">
      <c r="A143" s="1" t="str">
        <f aca="false">cleaned_data!A141</f>
        <v>STR-1035</v>
      </c>
      <c r="B143" s="3" t="n">
        <f aca="false">cleaned_data!B141</f>
        <v>45748</v>
      </c>
      <c r="C143" s="1" t="str">
        <f aca="false">cleaned_data!D141</f>
        <v>Residential</v>
      </c>
      <c r="D143" s="1" t="str">
        <f aca="false">cleaned_data!C141</f>
        <v>South</v>
      </c>
      <c r="E143" s="24" t="n">
        <f aca="false">cleaned_data!M141</f>
        <v>646559.71</v>
      </c>
      <c r="F143" s="24" t="n">
        <f aca="false">multiple_regression!B343+multiple_regression!B331*cleaned_data!F141+multiple_regression!B332*cleaned_data!E141+multiple_regression!B333*cleaned_data!H141+multiple_regression!B334*cleaned_data!I141+multiple_regression!B335*cleaned_data!G141+multiple_regression!B336*cleaned_data!K141+multiple_regression!B337*dummy_variables!E144+multiple_regression!B338*dummy_variables!F144+multiple_regression!B339*dummy_variables!G144+multiple_regression!B340*dummy_variables!H144+multiple_regression!B341*dummy_variables!I144+multiple_regression!B342*dummy_variables!J144</f>
        <v>613383.323362624</v>
      </c>
      <c r="G143" s="24" t="n">
        <f aca="false">E143-F143</f>
        <v>33176.3866373765</v>
      </c>
    </row>
    <row r="144" customFormat="false" ht="15" hidden="false" customHeight="true" outlineLevel="0" collapsed="false">
      <c r="A144" s="1" t="str">
        <f aca="false">cleaned_data!A142</f>
        <v>STR-1036</v>
      </c>
      <c r="B144" s="3" t="n">
        <f aca="false">cleaned_data!B142</f>
        <v>45658</v>
      </c>
      <c r="C144" s="1" t="str">
        <f aca="false">cleaned_data!D142</f>
        <v>High Street</v>
      </c>
      <c r="D144" s="1" t="str">
        <f aca="false">cleaned_data!C142</f>
        <v>West</v>
      </c>
      <c r="E144" s="24" t="n">
        <f aca="false">cleaned_data!M142</f>
        <v>715890.53</v>
      </c>
      <c r="F144" s="24" t="n">
        <f aca="false">multiple_regression!B343+multiple_regression!B331*cleaned_data!F142+multiple_regression!B332*cleaned_data!E142+multiple_regression!B333*cleaned_data!H142+multiple_regression!B334*cleaned_data!I142+multiple_regression!B335*cleaned_data!G142+multiple_regression!B336*cleaned_data!K142+multiple_regression!B337*dummy_variables!E145+multiple_regression!B338*dummy_variables!F145+multiple_regression!B339*dummy_variables!G145+multiple_regression!B340*dummy_variables!H145+multiple_regression!B341*dummy_variables!I145+multiple_regression!B342*dummy_variables!J145</f>
        <v>666745.289416483</v>
      </c>
      <c r="G144" s="24" t="n">
        <f aca="false">E144-F144</f>
        <v>49145.2405835169</v>
      </c>
    </row>
    <row r="145" customFormat="false" ht="15" hidden="false" customHeight="true" outlineLevel="0" collapsed="false">
      <c r="A145" s="1" t="str">
        <f aca="false">cleaned_data!A143</f>
        <v>STR-1036</v>
      </c>
      <c r="B145" s="3" t="n">
        <f aca="false">cleaned_data!B143</f>
        <v>45689</v>
      </c>
      <c r="C145" s="1" t="str">
        <f aca="false">cleaned_data!D143</f>
        <v>High Street</v>
      </c>
      <c r="D145" s="1" t="str">
        <f aca="false">cleaned_data!C143</f>
        <v>West</v>
      </c>
      <c r="E145" s="24" t="n">
        <f aca="false">cleaned_data!M143</f>
        <v>715097.57</v>
      </c>
      <c r="F145" s="24" t="n">
        <f aca="false">multiple_regression!B343+multiple_regression!B331*cleaned_data!F143+multiple_regression!B332*cleaned_data!E143+multiple_regression!B333*cleaned_data!H143+multiple_regression!B334*cleaned_data!I143+multiple_regression!B335*cleaned_data!G143+multiple_regression!B336*cleaned_data!K143+multiple_regression!B337*dummy_variables!E146+multiple_regression!B338*dummy_variables!F146+multiple_regression!B339*dummy_variables!G146+multiple_regression!B340*dummy_variables!H146+multiple_regression!B341*dummy_variables!I146+multiple_regression!B342*dummy_variables!J146</f>
        <v>697054.174842764</v>
      </c>
      <c r="G145" s="24" t="n">
        <f aca="false">E145-F145</f>
        <v>18043.3951572356</v>
      </c>
    </row>
    <row r="146" customFormat="false" ht="15" hidden="false" customHeight="true" outlineLevel="0" collapsed="false">
      <c r="A146" s="1" t="str">
        <f aca="false">cleaned_data!A144</f>
        <v>STR-1036</v>
      </c>
      <c r="B146" s="3" t="n">
        <f aca="false">cleaned_data!B144</f>
        <v>45717</v>
      </c>
      <c r="C146" s="1" t="str">
        <f aca="false">cleaned_data!D144</f>
        <v>High Street</v>
      </c>
      <c r="D146" s="1" t="str">
        <f aca="false">cleaned_data!C144</f>
        <v>West</v>
      </c>
      <c r="E146" s="24" t="n">
        <f aca="false">cleaned_data!M144</f>
        <v>682639.28</v>
      </c>
      <c r="F146" s="24" t="n">
        <f aca="false">multiple_regression!B343+multiple_regression!B331*cleaned_data!F144+multiple_regression!B332*cleaned_data!E144+multiple_regression!B333*cleaned_data!H144+multiple_regression!B334*cleaned_data!I144+multiple_regression!B335*cleaned_data!G144+multiple_regression!B336*cleaned_data!K144+multiple_regression!B337*dummy_variables!E147+multiple_regression!B338*dummy_variables!F147+multiple_regression!B339*dummy_variables!G147+multiple_regression!B340*dummy_variables!H147+multiple_regression!B341*dummy_variables!I147+multiple_regression!B342*dummy_variables!J147</f>
        <v>655730.342452948</v>
      </c>
      <c r="G146" s="24" t="n">
        <f aca="false">E146-F146</f>
        <v>26908.9375470523</v>
      </c>
    </row>
    <row r="147" customFormat="false" ht="15" hidden="false" customHeight="true" outlineLevel="0" collapsed="false">
      <c r="A147" s="1" t="str">
        <f aca="false">cleaned_data!A145</f>
        <v>STR-1036</v>
      </c>
      <c r="B147" s="3" t="n">
        <f aca="false">cleaned_data!B145</f>
        <v>45748</v>
      </c>
      <c r="C147" s="1" t="str">
        <f aca="false">cleaned_data!D145</f>
        <v>High Street</v>
      </c>
      <c r="D147" s="1" t="str">
        <f aca="false">cleaned_data!C145</f>
        <v>West</v>
      </c>
      <c r="E147" s="24" t="n">
        <f aca="false">cleaned_data!M145</f>
        <v>695098.51</v>
      </c>
      <c r="F147" s="24" t="n">
        <f aca="false">multiple_regression!B343+multiple_regression!B331*cleaned_data!F145+multiple_regression!B332*cleaned_data!E145+multiple_regression!B333*cleaned_data!H145+multiple_regression!B334*cleaned_data!I145+multiple_regression!B335*cleaned_data!G145+multiple_regression!B336*cleaned_data!K145+multiple_regression!B337*dummy_variables!E148+multiple_regression!B338*dummy_variables!F148+multiple_regression!B339*dummy_variables!G148+multiple_regression!B340*dummy_variables!H148+multiple_regression!B341*dummy_variables!I148+multiple_regression!B342*dummy_variables!J148</f>
        <v>689352.434542567</v>
      </c>
      <c r="G147" s="24" t="n">
        <f aca="false">E147-F147</f>
        <v>5746.07545743312</v>
      </c>
    </row>
    <row r="148" customFormat="false" ht="15" hidden="false" customHeight="true" outlineLevel="0" collapsed="false">
      <c r="A148" s="1" t="str">
        <f aca="false">cleaned_data!A146</f>
        <v>STR-1037</v>
      </c>
      <c r="B148" s="3" t="n">
        <f aca="false">cleaned_data!B146</f>
        <v>45658</v>
      </c>
      <c r="C148" s="1" t="str">
        <f aca="false">cleaned_data!D146</f>
        <v>Residential</v>
      </c>
      <c r="D148" s="1" t="str">
        <f aca="false">cleaned_data!C146</f>
        <v>North</v>
      </c>
      <c r="E148" s="24" t="n">
        <f aca="false">cleaned_data!M146</f>
        <v>577732.57</v>
      </c>
      <c r="F148" s="24" t="n">
        <f aca="false">multiple_regression!B343+multiple_regression!B331*cleaned_data!F146+multiple_regression!B332*cleaned_data!E146+multiple_regression!B333*cleaned_data!H146+multiple_regression!B334*cleaned_data!I146+multiple_regression!B335*cleaned_data!G146+multiple_regression!B336*cleaned_data!K146+multiple_regression!B337*dummy_variables!E149+multiple_regression!B338*dummy_variables!F149+multiple_regression!B339*dummy_variables!G149+multiple_regression!B340*dummy_variables!H149+multiple_regression!B341*dummy_variables!I149+multiple_regression!B342*dummy_variables!J149</f>
        <v>600968.807017045</v>
      </c>
      <c r="G148" s="24" t="n">
        <f aca="false">E148-F148</f>
        <v>-23236.237017045</v>
      </c>
    </row>
    <row r="149" customFormat="false" ht="15" hidden="false" customHeight="true" outlineLevel="0" collapsed="false">
      <c r="A149" s="1" t="str">
        <f aca="false">cleaned_data!A147</f>
        <v>STR-1037</v>
      </c>
      <c r="B149" s="3" t="n">
        <f aca="false">cleaned_data!B147</f>
        <v>45689</v>
      </c>
      <c r="C149" s="1" t="str">
        <f aca="false">cleaned_data!D147</f>
        <v>Residential</v>
      </c>
      <c r="D149" s="1" t="str">
        <f aca="false">cleaned_data!C147</f>
        <v>North</v>
      </c>
      <c r="E149" s="24" t="n">
        <f aca="false">cleaned_data!M147</f>
        <v>537058.33</v>
      </c>
      <c r="F149" s="24" t="n">
        <f aca="false">multiple_regression!B343+multiple_regression!B331*cleaned_data!F147+multiple_regression!B332*cleaned_data!E147+multiple_regression!B333*cleaned_data!H147+multiple_regression!B334*cleaned_data!I147+multiple_regression!B335*cleaned_data!G147+multiple_regression!B336*cleaned_data!K147+multiple_regression!B337*dummy_variables!E150+multiple_regression!B338*dummy_variables!F150+multiple_regression!B339*dummy_variables!G150+multiple_regression!B340*dummy_variables!H150+multiple_regression!B341*dummy_variables!I150+multiple_regression!B342*dummy_variables!J150</f>
        <v>564962.616160833</v>
      </c>
      <c r="G149" s="24" t="n">
        <f aca="false">E149-F149</f>
        <v>-27904.2861608333</v>
      </c>
    </row>
    <row r="150" customFormat="false" ht="15" hidden="false" customHeight="true" outlineLevel="0" collapsed="false">
      <c r="A150" s="1" t="str">
        <f aca="false">cleaned_data!A148</f>
        <v>STR-1037</v>
      </c>
      <c r="B150" s="3" t="n">
        <f aca="false">cleaned_data!B148</f>
        <v>45717</v>
      </c>
      <c r="C150" s="1" t="str">
        <f aca="false">cleaned_data!D148</f>
        <v>Residential</v>
      </c>
      <c r="D150" s="1" t="str">
        <f aca="false">cleaned_data!C148</f>
        <v>North</v>
      </c>
      <c r="E150" s="24" t="n">
        <f aca="false">cleaned_data!M148</f>
        <v>601568.87</v>
      </c>
      <c r="F150" s="24" t="n">
        <f aca="false">multiple_regression!B343+multiple_regression!B331*cleaned_data!F148+multiple_regression!B332*cleaned_data!E148+multiple_regression!B333*cleaned_data!H148+multiple_regression!B334*cleaned_data!I148+multiple_regression!B335*cleaned_data!G148+multiple_regression!B336*cleaned_data!K148+multiple_regression!B337*dummy_variables!E151+multiple_regression!B338*dummy_variables!F151+multiple_regression!B339*dummy_variables!G151+multiple_regression!B340*dummy_variables!H151+multiple_regression!B341*dummy_variables!I151+multiple_regression!B342*dummy_variables!J151</f>
        <v>600040.258111853</v>
      </c>
      <c r="G150" s="24" t="n">
        <f aca="false">E150-F150</f>
        <v>1528.61188814684</v>
      </c>
    </row>
    <row r="151" customFormat="false" ht="15" hidden="false" customHeight="true" outlineLevel="0" collapsed="false">
      <c r="A151" s="1" t="str">
        <f aca="false">cleaned_data!A149</f>
        <v>STR-1037</v>
      </c>
      <c r="B151" s="3" t="n">
        <f aca="false">cleaned_data!B149</f>
        <v>45748</v>
      </c>
      <c r="C151" s="1" t="str">
        <f aca="false">cleaned_data!D149</f>
        <v>Residential</v>
      </c>
      <c r="D151" s="1" t="str">
        <f aca="false">cleaned_data!C149</f>
        <v>North</v>
      </c>
      <c r="E151" s="24" t="n">
        <f aca="false">cleaned_data!M149</f>
        <v>570964.84</v>
      </c>
      <c r="F151" s="24" t="n">
        <f aca="false">multiple_regression!B343+multiple_regression!B331*cleaned_data!F149+multiple_regression!B332*cleaned_data!E149+multiple_regression!B333*cleaned_data!H149+multiple_regression!B334*cleaned_data!I149+multiple_regression!B335*cleaned_data!G149+multiple_regression!B336*cleaned_data!K149+multiple_regression!B337*dummy_variables!E152+multiple_regression!B338*dummy_variables!F152+multiple_regression!B339*dummy_variables!G152+multiple_regression!B340*dummy_variables!H152+multiple_regression!B341*dummy_variables!I152+multiple_regression!B342*dummy_variables!J152</f>
        <v>562916.018857014</v>
      </c>
      <c r="G151" s="24" t="n">
        <f aca="false">E151-F151</f>
        <v>8048.82114298642</v>
      </c>
    </row>
    <row r="152" customFormat="false" ht="15" hidden="false" customHeight="true" outlineLevel="0" collapsed="false">
      <c r="A152" s="1" t="str">
        <f aca="false">cleaned_data!A150</f>
        <v>STR-1038</v>
      </c>
      <c r="B152" s="3" t="n">
        <f aca="false">cleaned_data!B150</f>
        <v>45658</v>
      </c>
      <c r="C152" s="1" t="str">
        <f aca="false">cleaned_data!D150</f>
        <v>Mall</v>
      </c>
      <c r="D152" s="1" t="str">
        <f aca="false">cleaned_data!C150</f>
        <v>South</v>
      </c>
      <c r="E152" s="24" t="n">
        <f aca="false">cleaned_data!M150</f>
        <v>614024.91</v>
      </c>
      <c r="F152" s="24" t="n">
        <f aca="false">multiple_regression!B343+multiple_regression!B331*cleaned_data!F150+multiple_regression!B332*cleaned_data!E150+multiple_regression!B333*cleaned_data!H150+multiple_regression!B334*cleaned_data!I150+multiple_regression!B335*cleaned_data!G150+multiple_regression!B336*cleaned_data!K150+multiple_regression!B337*dummy_variables!E153+multiple_regression!B338*dummy_variables!F153+multiple_regression!B339*dummy_variables!G153+multiple_regression!B340*dummy_variables!H153+multiple_regression!B341*dummy_variables!I153+multiple_regression!B342*dummy_variables!J153</f>
        <v>664165.397582886</v>
      </c>
      <c r="G152" s="24" t="n">
        <f aca="false">E152-F152</f>
        <v>-50140.4875828857</v>
      </c>
    </row>
    <row r="153" customFormat="false" ht="15" hidden="false" customHeight="true" outlineLevel="0" collapsed="false">
      <c r="A153" s="1" t="str">
        <f aca="false">cleaned_data!A151</f>
        <v>STR-1038</v>
      </c>
      <c r="B153" s="3" t="n">
        <f aca="false">cleaned_data!B151</f>
        <v>45689</v>
      </c>
      <c r="C153" s="1" t="str">
        <f aca="false">cleaned_data!D151</f>
        <v>Mall</v>
      </c>
      <c r="D153" s="1" t="str">
        <f aca="false">cleaned_data!C151</f>
        <v>South</v>
      </c>
      <c r="E153" s="24" t="n">
        <f aca="false">cleaned_data!M151</f>
        <v>712868.35</v>
      </c>
      <c r="F153" s="24" t="n">
        <f aca="false">multiple_regression!B343+multiple_regression!B331*cleaned_data!F151+multiple_regression!B332*cleaned_data!E151+multiple_regression!B333*cleaned_data!H151+multiple_regression!B334*cleaned_data!I151+multiple_regression!B335*cleaned_data!G151+multiple_regression!B336*cleaned_data!K151+multiple_regression!B337*dummy_variables!E154+multiple_regression!B338*dummy_variables!F154+multiple_regression!B339*dummy_variables!G154+multiple_regression!B340*dummy_variables!H154+multiple_regression!B341*dummy_variables!I154+multiple_regression!B342*dummy_variables!J154</f>
        <v>709938.237446683</v>
      </c>
      <c r="G153" s="24" t="n">
        <f aca="false">E153-F153</f>
        <v>2930.11255331722</v>
      </c>
    </row>
    <row r="154" customFormat="false" ht="15" hidden="false" customHeight="true" outlineLevel="0" collapsed="false">
      <c r="A154" s="1" t="str">
        <f aca="false">cleaned_data!A152</f>
        <v>STR-1038</v>
      </c>
      <c r="B154" s="3" t="n">
        <f aca="false">cleaned_data!B152</f>
        <v>45717</v>
      </c>
      <c r="C154" s="1" t="str">
        <f aca="false">cleaned_data!D152</f>
        <v>Mall</v>
      </c>
      <c r="D154" s="1" t="str">
        <f aca="false">cleaned_data!C152</f>
        <v>South</v>
      </c>
      <c r="E154" s="24" t="n">
        <f aca="false">cleaned_data!M152</f>
        <v>696744.15</v>
      </c>
      <c r="F154" s="24" t="n">
        <f aca="false">multiple_regression!B343+multiple_regression!B331*cleaned_data!F152+multiple_regression!B332*cleaned_data!E152+multiple_regression!B333*cleaned_data!H152+multiple_regression!B334*cleaned_data!I152+multiple_regression!B335*cleaned_data!G152+multiple_regression!B336*cleaned_data!K152+multiple_regression!B337*dummy_variables!E155+multiple_regression!B338*dummy_variables!F155+multiple_regression!B339*dummy_variables!G155+multiple_regression!B340*dummy_variables!H155+multiple_regression!B341*dummy_variables!I155+multiple_regression!B342*dummy_variables!J155</f>
        <v>684496.892160027</v>
      </c>
      <c r="G154" s="24" t="n">
        <f aca="false">E154-F154</f>
        <v>12247.257839973</v>
      </c>
    </row>
    <row r="155" customFormat="false" ht="15" hidden="false" customHeight="true" outlineLevel="0" collapsed="false">
      <c r="A155" s="1" t="str">
        <f aca="false">cleaned_data!A153</f>
        <v>STR-1038</v>
      </c>
      <c r="B155" s="3" t="n">
        <f aca="false">cleaned_data!B153</f>
        <v>45748</v>
      </c>
      <c r="C155" s="1" t="str">
        <f aca="false">cleaned_data!D153</f>
        <v>Mall</v>
      </c>
      <c r="D155" s="1" t="str">
        <f aca="false">cleaned_data!C153</f>
        <v>South</v>
      </c>
      <c r="E155" s="24" t="n">
        <f aca="false">cleaned_data!M153</f>
        <v>725847.99</v>
      </c>
      <c r="F155" s="24" t="n">
        <f aca="false">multiple_regression!B343+multiple_regression!B331*cleaned_data!F153+multiple_regression!B332*cleaned_data!E153+multiple_regression!B333*cleaned_data!H153+multiple_regression!B334*cleaned_data!I153+multiple_regression!B335*cleaned_data!G153+multiple_regression!B336*cleaned_data!K153+multiple_regression!B337*dummy_variables!E156+multiple_regression!B338*dummy_variables!F156+multiple_regression!B339*dummy_variables!G156+multiple_regression!B340*dummy_variables!H156+multiple_regression!B341*dummy_variables!I156+multiple_regression!B342*dummy_variables!J156</f>
        <v>709149.363614611</v>
      </c>
      <c r="G155" s="24" t="n">
        <f aca="false">E155-F155</f>
        <v>16698.6263853887</v>
      </c>
    </row>
    <row r="156" customFormat="false" ht="15" hidden="false" customHeight="true" outlineLevel="0" collapsed="false">
      <c r="A156" s="1" t="str">
        <f aca="false">cleaned_data!A154</f>
        <v>STR-1039</v>
      </c>
      <c r="B156" s="3" t="n">
        <f aca="false">cleaned_data!B154</f>
        <v>45658</v>
      </c>
      <c r="C156" s="1" t="str">
        <f aca="false">cleaned_data!D154</f>
        <v>High Street</v>
      </c>
      <c r="D156" s="1" t="str">
        <f aca="false">cleaned_data!C154</f>
        <v>East</v>
      </c>
      <c r="E156" s="24" t="n">
        <f aca="false">cleaned_data!M154</f>
        <v>785028.25</v>
      </c>
      <c r="F156" s="24" t="n">
        <f aca="false">multiple_regression!B343+multiple_regression!B331*cleaned_data!F154+multiple_regression!B332*cleaned_data!E154+multiple_regression!B333*cleaned_data!H154+multiple_regression!B334*cleaned_data!I154+multiple_regression!B335*cleaned_data!G154+multiple_regression!B336*cleaned_data!K154+multiple_regression!B337*dummy_variables!E157+multiple_regression!B338*dummy_variables!F157+multiple_regression!B339*dummy_variables!G157+multiple_regression!B340*dummy_variables!H157+multiple_regression!B341*dummy_variables!I157+multiple_regression!B342*dummy_variables!J157</f>
        <v>782697.413847268</v>
      </c>
      <c r="G156" s="24" t="n">
        <f aca="false">E156-F156</f>
        <v>2330.83615273179</v>
      </c>
    </row>
    <row r="157" customFormat="false" ht="15" hidden="false" customHeight="true" outlineLevel="0" collapsed="false">
      <c r="A157" s="1" t="str">
        <f aca="false">cleaned_data!A155</f>
        <v>STR-1039</v>
      </c>
      <c r="B157" s="3" t="n">
        <f aca="false">cleaned_data!B155</f>
        <v>45689</v>
      </c>
      <c r="C157" s="1" t="str">
        <f aca="false">cleaned_data!D155</f>
        <v>High Street</v>
      </c>
      <c r="D157" s="1" t="str">
        <f aca="false">cleaned_data!C155</f>
        <v>East</v>
      </c>
      <c r="E157" s="24" t="n">
        <f aca="false">cleaned_data!M155</f>
        <v>698492.67</v>
      </c>
      <c r="F157" s="24" t="n">
        <f aca="false">multiple_regression!B343+multiple_regression!B331*cleaned_data!F155+multiple_regression!B332*cleaned_data!E155+multiple_regression!B333*cleaned_data!H155+multiple_regression!B334*cleaned_data!I155+multiple_regression!B335*cleaned_data!G155+multiple_regression!B336*cleaned_data!K155+multiple_regression!B337*dummy_variables!E158+multiple_regression!B338*dummy_variables!F158+multiple_regression!B339*dummy_variables!G158+multiple_regression!B340*dummy_variables!H158+multiple_regression!B341*dummy_variables!I158+multiple_regression!B342*dummy_variables!J158</f>
        <v>680503.899500855</v>
      </c>
      <c r="G157" s="24" t="n">
        <f aca="false">E157-F157</f>
        <v>17988.7704991449</v>
      </c>
    </row>
    <row r="158" customFormat="false" ht="15" hidden="false" customHeight="true" outlineLevel="0" collapsed="false">
      <c r="A158" s="1" t="str">
        <f aca="false">cleaned_data!A156</f>
        <v>STR-1039</v>
      </c>
      <c r="B158" s="3" t="n">
        <f aca="false">cleaned_data!B156</f>
        <v>45717</v>
      </c>
      <c r="C158" s="1" t="str">
        <f aca="false">cleaned_data!D156</f>
        <v>High Street</v>
      </c>
      <c r="D158" s="1" t="str">
        <f aca="false">cleaned_data!C156</f>
        <v>East</v>
      </c>
      <c r="E158" s="24" t="n">
        <f aca="false">cleaned_data!M156</f>
        <v>685830.24</v>
      </c>
      <c r="F158" s="24" t="n">
        <f aca="false">multiple_regression!B343+multiple_regression!B331*cleaned_data!F156+multiple_regression!B332*cleaned_data!E156+multiple_regression!B333*cleaned_data!H156+multiple_regression!B334*cleaned_data!I156+multiple_regression!B335*cleaned_data!G156+multiple_regression!B336*cleaned_data!K156+multiple_regression!B337*dummy_variables!E159+multiple_regression!B338*dummy_variables!F159+multiple_regression!B339*dummy_variables!G159+multiple_regression!B340*dummy_variables!H159+multiple_regression!B341*dummy_variables!I159+multiple_regression!B342*dummy_variables!J159</f>
        <v>709253.173911325</v>
      </c>
      <c r="G158" s="24" t="n">
        <f aca="false">E158-F158</f>
        <v>-23422.9339113254</v>
      </c>
    </row>
    <row r="159" customFormat="false" ht="15" hidden="false" customHeight="true" outlineLevel="0" collapsed="false">
      <c r="A159" s="1" t="str">
        <f aca="false">cleaned_data!A157</f>
        <v>STR-1039</v>
      </c>
      <c r="B159" s="3" t="n">
        <f aca="false">cleaned_data!B157</f>
        <v>45748</v>
      </c>
      <c r="C159" s="1" t="str">
        <f aca="false">cleaned_data!D157</f>
        <v>High Street</v>
      </c>
      <c r="D159" s="1" t="str">
        <f aca="false">cleaned_data!C157</f>
        <v>East</v>
      </c>
      <c r="E159" s="24" t="n">
        <f aca="false">cleaned_data!M157</f>
        <v>702318.94</v>
      </c>
      <c r="F159" s="24" t="n">
        <f aca="false">multiple_regression!B343+multiple_regression!B331*cleaned_data!F157+multiple_regression!B332*cleaned_data!E157+multiple_regression!B333*cleaned_data!H157+multiple_regression!B334*cleaned_data!I157+multiple_regression!B335*cleaned_data!G157+multiple_regression!B336*cleaned_data!K157+multiple_regression!B337*dummy_variables!E160+multiple_regression!B338*dummy_variables!F160+multiple_regression!B339*dummy_variables!G160+multiple_regression!B340*dummy_variables!H160+multiple_regression!B341*dummy_variables!I160+multiple_regression!B342*dummy_variables!J160</f>
        <v>693682.998879259</v>
      </c>
      <c r="G159" s="24" t="n">
        <f aca="false">E159-F159</f>
        <v>8635.94112074142</v>
      </c>
    </row>
    <row r="160" customFormat="false" ht="15" hidden="false" customHeight="true" outlineLevel="0" collapsed="false">
      <c r="A160" s="1" t="str">
        <f aca="false">cleaned_data!A158</f>
        <v>STR-1040</v>
      </c>
      <c r="B160" s="3" t="n">
        <f aca="false">cleaned_data!B158</f>
        <v>45658</v>
      </c>
      <c r="C160" s="1" t="str">
        <f aca="false">cleaned_data!D158</f>
        <v>Mall</v>
      </c>
      <c r="D160" s="1" t="str">
        <f aca="false">cleaned_data!C158</f>
        <v>North</v>
      </c>
      <c r="E160" s="24" t="n">
        <f aca="false">cleaned_data!M158</f>
        <v>700078.32</v>
      </c>
      <c r="F160" s="24" t="n">
        <f aca="false">multiple_regression!B343+multiple_regression!B331*cleaned_data!F158+multiple_regression!B332*cleaned_data!E158+multiple_regression!B333*cleaned_data!H158+multiple_regression!B334*cleaned_data!I158+multiple_regression!B335*cleaned_data!G158+multiple_regression!B336*cleaned_data!K158+multiple_regression!B337*dummy_variables!E161+multiple_regression!B338*dummy_variables!F161+multiple_regression!B339*dummy_variables!G161+multiple_regression!B340*dummy_variables!H161+multiple_regression!B341*dummy_variables!I161+multiple_regression!B342*dummy_variables!J161</f>
        <v>720359.575045344</v>
      </c>
      <c r="G160" s="24" t="n">
        <f aca="false">E160-F160</f>
        <v>-20281.2550453435</v>
      </c>
    </row>
    <row r="161" customFormat="false" ht="15" hidden="false" customHeight="true" outlineLevel="0" collapsed="false">
      <c r="A161" s="1" t="str">
        <f aca="false">cleaned_data!A159</f>
        <v>STR-1040</v>
      </c>
      <c r="B161" s="3" t="n">
        <f aca="false">cleaned_data!B159</f>
        <v>45689</v>
      </c>
      <c r="C161" s="1" t="str">
        <f aca="false">cleaned_data!D159</f>
        <v>Mall</v>
      </c>
      <c r="D161" s="1" t="str">
        <f aca="false">cleaned_data!C159</f>
        <v>North</v>
      </c>
      <c r="E161" s="24" t="n">
        <f aca="false">cleaned_data!M159</f>
        <v>602002.32</v>
      </c>
      <c r="F161" s="24" t="n">
        <f aca="false">multiple_regression!B343+multiple_regression!B331*cleaned_data!F159+multiple_regression!B332*cleaned_data!E159+multiple_regression!B333*cleaned_data!H159+multiple_regression!B334*cleaned_data!I159+multiple_regression!B335*cleaned_data!G159+multiple_regression!B336*cleaned_data!K159+multiple_regression!B337*dummy_variables!E162+multiple_regression!B338*dummy_variables!F162+multiple_regression!B339*dummy_variables!G162+multiple_regression!B340*dummy_variables!H162+multiple_regression!B341*dummy_variables!I162+multiple_regression!B342*dummy_variables!J162</f>
        <v>632076.49244695</v>
      </c>
      <c r="G161" s="24" t="n">
        <f aca="false">E161-F161</f>
        <v>-30074.1724469498</v>
      </c>
    </row>
    <row r="162" customFormat="false" ht="15" hidden="false" customHeight="true" outlineLevel="0" collapsed="false">
      <c r="A162" s="1" t="str">
        <f aca="false">cleaned_data!A160</f>
        <v>STR-1040</v>
      </c>
      <c r="B162" s="3" t="n">
        <f aca="false">cleaned_data!B160</f>
        <v>45717</v>
      </c>
      <c r="C162" s="1" t="str">
        <f aca="false">cleaned_data!D160</f>
        <v>Mall</v>
      </c>
      <c r="D162" s="1" t="str">
        <f aca="false">cleaned_data!C160</f>
        <v>North</v>
      </c>
      <c r="E162" s="24" t="n">
        <f aca="false">cleaned_data!M160</f>
        <v>724216.07</v>
      </c>
      <c r="F162" s="24" t="n">
        <f aca="false">multiple_regression!B343+multiple_regression!B331*cleaned_data!F160+multiple_regression!B332*cleaned_data!E160+multiple_regression!B333*cleaned_data!H160+multiple_regression!B334*cleaned_data!I160+multiple_regression!B335*cleaned_data!G160+multiple_regression!B336*cleaned_data!K160+multiple_regression!B337*dummy_variables!E163+multiple_regression!B338*dummy_variables!F163+multiple_regression!B339*dummy_variables!G163+multiple_regression!B340*dummy_variables!H163+multiple_regression!B341*dummy_variables!I163+multiple_regression!B342*dummy_variables!J163</f>
        <v>660890.107014742</v>
      </c>
      <c r="G162" s="24" t="n">
        <f aca="false">E162-F162</f>
        <v>63325.9629852583</v>
      </c>
    </row>
    <row r="163" customFormat="false" ht="15" hidden="false" customHeight="true" outlineLevel="0" collapsed="false">
      <c r="A163" s="1" t="str">
        <f aca="false">cleaned_data!A161</f>
        <v>STR-1040</v>
      </c>
      <c r="B163" s="3" t="n">
        <f aca="false">cleaned_data!B161</f>
        <v>45748</v>
      </c>
      <c r="C163" s="1" t="str">
        <f aca="false">cleaned_data!D161</f>
        <v>Mall</v>
      </c>
      <c r="D163" s="1" t="str">
        <f aca="false">cleaned_data!C161</f>
        <v>North</v>
      </c>
      <c r="E163" s="24" t="n">
        <f aca="false">cleaned_data!M161</f>
        <v>620973.03</v>
      </c>
      <c r="F163" s="24" t="n">
        <f aca="false">multiple_regression!B343+multiple_regression!B331*cleaned_data!F161+multiple_regression!B332*cleaned_data!E161+multiple_regression!B333*cleaned_data!H161+multiple_regression!B334*cleaned_data!I161+multiple_regression!B335*cleaned_data!G161+multiple_regression!B336*cleaned_data!K161+multiple_regression!B337*dummy_variables!E164+multiple_regression!B338*dummy_variables!F164+multiple_regression!B339*dummy_variables!G164+multiple_regression!B340*dummy_variables!H164+multiple_regression!B341*dummy_variables!I164+multiple_regression!B342*dummy_variables!J164</f>
        <v>572151.901926676</v>
      </c>
      <c r="G163" s="24" t="n">
        <f aca="false">E163-F163</f>
        <v>48821.1280733243</v>
      </c>
    </row>
    <row r="164" customFormat="false" ht="15" hidden="false" customHeight="true" outlineLevel="0" collapsed="false">
      <c r="A164" s="1" t="str">
        <f aca="false">cleaned_data!A162</f>
        <v>STR-1041</v>
      </c>
      <c r="B164" s="3" t="n">
        <f aca="false">cleaned_data!B162</f>
        <v>45658</v>
      </c>
      <c r="C164" s="1" t="str">
        <f aca="false">cleaned_data!D162</f>
        <v>High Street</v>
      </c>
      <c r="D164" s="1" t="str">
        <f aca="false">cleaned_data!C162</f>
        <v>South</v>
      </c>
      <c r="E164" s="24" t="n">
        <f aca="false">cleaned_data!M162</f>
        <v>650480.06</v>
      </c>
      <c r="F164" s="24" t="n">
        <f aca="false">multiple_regression!B343+multiple_regression!B331*cleaned_data!F162+multiple_regression!B332*cleaned_data!E162+multiple_regression!B333*cleaned_data!H162+multiple_regression!B334*cleaned_data!I162+multiple_regression!B335*cleaned_data!G162+multiple_regression!B336*cleaned_data!K162+multiple_regression!B337*dummy_variables!E165+multiple_regression!B338*dummy_variables!F165+multiple_regression!B339*dummy_variables!G165+multiple_regression!B340*dummy_variables!H165+multiple_regression!B341*dummy_variables!I165+multiple_regression!B342*dummy_variables!J165</f>
        <v>696783.638276171</v>
      </c>
      <c r="G164" s="24" t="n">
        <f aca="false">E164-F164</f>
        <v>-46303.5782761711</v>
      </c>
    </row>
    <row r="165" customFormat="false" ht="15" hidden="false" customHeight="true" outlineLevel="0" collapsed="false">
      <c r="A165" s="1" t="str">
        <f aca="false">cleaned_data!A163</f>
        <v>STR-1041</v>
      </c>
      <c r="B165" s="3" t="n">
        <f aca="false">cleaned_data!B163</f>
        <v>45689</v>
      </c>
      <c r="C165" s="1" t="str">
        <f aca="false">cleaned_data!D163</f>
        <v>High Street</v>
      </c>
      <c r="D165" s="1" t="str">
        <f aca="false">cleaned_data!C163</f>
        <v>South</v>
      </c>
      <c r="E165" s="24" t="n">
        <f aca="false">cleaned_data!M163</f>
        <v>778298.88</v>
      </c>
      <c r="F165" s="24" t="n">
        <f aca="false">multiple_regression!B343+multiple_regression!B331*cleaned_data!F163+multiple_regression!B332*cleaned_data!E163+multiple_regression!B333*cleaned_data!H163+multiple_regression!B334*cleaned_data!I163+multiple_regression!B335*cleaned_data!G163+multiple_regression!B336*cleaned_data!K163+multiple_regression!B337*dummy_variables!E166+multiple_regression!B338*dummy_variables!F166+multiple_regression!B339*dummy_variables!G166+multiple_regression!B340*dummy_variables!H166+multiple_regression!B341*dummy_variables!I166+multiple_regression!B342*dummy_variables!J166</f>
        <v>713757.439387078</v>
      </c>
      <c r="G165" s="24" t="n">
        <f aca="false">E165-F165</f>
        <v>64541.4406129216</v>
      </c>
    </row>
    <row r="166" customFormat="false" ht="15" hidden="false" customHeight="true" outlineLevel="0" collapsed="false">
      <c r="A166" s="1" t="str">
        <f aca="false">cleaned_data!A164</f>
        <v>STR-1041</v>
      </c>
      <c r="B166" s="3" t="n">
        <f aca="false">cleaned_data!B164</f>
        <v>45717</v>
      </c>
      <c r="C166" s="1" t="str">
        <f aca="false">cleaned_data!D164</f>
        <v>High Street</v>
      </c>
      <c r="D166" s="1" t="str">
        <f aca="false">cleaned_data!C164</f>
        <v>South</v>
      </c>
      <c r="E166" s="24" t="n">
        <f aca="false">cleaned_data!M164</f>
        <v>677096.71</v>
      </c>
      <c r="F166" s="24" t="n">
        <f aca="false">multiple_regression!B343+multiple_regression!B331*cleaned_data!F164+multiple_regression!B332*cleaned_data!E164+multiple_regression!B333*cleaned_data!H164+multiple_regression!B334*cleaned_data!I164+multiple_regression!B335*cleaned_data!G164+multiple_regression!B336*cleaned_data!K164+multiple_regression!B337*dummy_variables!E167+multiple_regression!B338*dummy_variables!F167+multiple_regression!B339*dummy_variables!G167+multiple_regression!B340*dummy_variables!H167+multiple_regression!B341*dummy_variables!I167+multiple_regression!B342*dummy_variables!J167</f>
        <v>680288.6611493</v>
      </c>
      <c r="G166" s="24" t="n">
        <f aca="false">E166-F166</f>
        <v>-3191.95114930009</v>
      </c>
    </row>
    <row r="167" customFormat="false" ht="15" hidden="false" customHeight="true" outlineLevel="0" collapsed="false">
      <c r="A167" s="1" t="str">
        <f aca="false">cleaned_data!A165</f>
        <v>STR-1041</v>
      </c>
      <c r="B167" s="3" t="n">
        <f aca="false">cleaned_data!B165</f>
        <v>45748</v>
      </c>
      <c r="C167" s="1" t="str">
        <f aca="false">cleaned_data!D165</f>
        <v>High Street</v>
      </c>
      <c r="D167" s="1" t="str">
        <f aca="false">cleaned_data!C165</f>
        <v>South</v>
      </c>
      <c r="E167" s="24" t="n">
        <f aca="false">cleaned_data!M165</f>
        <v>692008.64</v>
      </c>
      <c r="F167" s="24" t="n">
        <f aca="false">multiple_regression!B343+multiple_regression!B331*cleaned_data!F165+multiple_regression!B332*cleaned_data!E165+multiple_regression!B333*cleaned_data!H165+multiple_regression!B334*cleaned_data!I165+multiple_regression!B335*cleaned_data!G165+multiple_regression!B336*cleaned_data!K165+multiple_regression!B337*dummy_variables!E168+multiple_regression!B338*dummy_variables!F168+multiple_regression!B339*dummy_variables!G168+multiple_regression!B340*dummy_variables!H168+multiple_regression!B341*dummy_variables!I168+multiple_regression!B342*dummy_variables!J168</f>
        <v>712233.652774722</v>
      </c>
      <c r="G167" s="24" t="n">
        <f aca="false">E167-F167</f>
        <v>-20225.0127747218</v>
      </c>
    </row>
    <row r="168" customFormat="false" ht="15" hidden="false" customHeight="true" outlineLevel="0" collapsed="false">
      <c r="A168" s="1" t="str">
        <f aca="false">cleaned_data!A166</f>
        <v>STR-1042</v>
      </c>
      <c r="B168" s="3" t="n">
        <f aca="false">cleaned_data!B166</f>
        <v>45658</v>
      </c>
      <c r="C168" s="1" t="str">
        <f aca="false">cleaned_data!D166</f>
        <v>Mall</v>
      </c>
      <c r="D168" s="1" t="str">
        <f aca="false">cleaned_data!C166</f>
        <v>North</v>
      </c>
      <c r="E168" s="24" t="n">
        <f aca="false">cleaned_data!M166</f>
        <v>825797.91</v>
      </c>
      <c r="F168" s="24" t="n">
        <f aca="false">multiple_regression!B343+multiple_regression!B331*cleaned_data!F166+multiple_regression!B332*cleaned_data!E166+multiple_regression!B333*cleaned_data!H166+multiple_regression!B334*cleaned_data!I166+multiple_regression!B335*cleaned_data!G166+multiple_regression!B336*cleaned_data!K166+multiple_regression!B337*dummy_variables!E169+multiple_regression!B338*dummy_variables!F169+multiple_regression!B339*dummy_variables!G169+multiple_regression!B340*dummy_variables!H169+multiple_regression!B341*dummy_variables!I169+multiple_regression!B342*dummy_variables!J169</f>
        <v>797786.012971457</v>
      </c>
      <c r="G168" s="24" t="n">
        <f aca="false">E168-F168</f>
        <v>28011.8970285433</v>
      </c>
    </row>
    <row r="169" customFormat="false" ht="15" hidden="false" customHeight="true" outlineLevel="0" collapsed="false">
      <c r="A169" s="1" t="str">
        <f aca="false">cleaned_data!A167</f>
        <v>STR-1042</v>
      </c>
      <c r="B169" s="3" t="n">
        <f aca="false">cleaned_data!B167</f>
        <v>45689</v>
      </c>
      <c r="C169" s="1" t="str">
        <f aca="false">cleaned_data!D167</f>
        <v>Mall</v>
      </c>
      <c r="D169" s="1" t="str">
        <f aca="false">cleaned_data!C167</f>
        <v>North</v>
      </c>
      <c r="E169" s="24" t="n">
        <f aca="false">cleaned_data!M167</f>
        <v>706285.52</v>
      </c>
      <c r="F169" s="24" t="n">
        <f aca="false">multiple_regression!B343+multiple_regression!B331*cleaned_data!F167+multiple_regression!B332*cleaned_data!E167+multiple_regression!B333*cleaned_data!H167+multiple_regression!B334*cleaned_data!I167+multiple_regression!B335*cleaned_data!G167+multiple_regression!B336*cleaned_data!K167+multiple_regression!B337*dummy_variables!E170+multiple_regression!B338*dummy_variables!F170+multiple_regression!B339*dummy_variables!G170+multiple_regression!B340*dummy_variables!H170+multiple_regression!B341*dummy_variables!I170+multiple_regression!B342*dummy_variables!J170</f>
        <v>735526.653509194</v>
      </c>
      <c r="G169" s="24" t="n">
        <f aca="false">E169-F169</f>
        <v>-29241.1335091938</v>
      </c>
    </row>
    <row r="170" customFormat="false" ht="15" hidden="false" customHeight="true" outlineLevel="0" collapsed="false">
      <c r="A170" s="1" t="str">
        <f aca="false">cleaned_data!A168</f>
        <v>STR-1042</v>
      </c>
      <c r="B170" s="3" t="n">
        <f aca="false">cleaned_data!B168</f>
        <v>45717</v>
      </c>
      <c r="C170" s="1" t="str">
        <f aca="false">cleaned_data!D168</f>
        <v>Mall</v>
      </c>
      <c r="D170" s="1" t="str">
        <f aca="false">cleaned_data!C168</f>
        <v>North</v>
      </c>
      <c r="E170" s="24" t="n">
        <f aca="false">cleaned_data!M168</f>
        <v>665534.7</v>
      </c>
      <c r="F170" s="24" t="n">
        <f aca="false">multiple_regression!B343+multiple_regression!B331*cleaned_data!F168+multiple_regression!B332*cleaned_data!E168+multiple_regression!B333*cleaned_data!H168+multiple_regression!B334*cleaned_data!I168+multiple_regression!B335*cleaned_data!G168+multiple_regression!B336*cleaned_data!K168+multiple_regression!B337*dummy_variables!E171+multiple_regression!B338*dummy_variables!F171+multiple_regression!B339*dummy_variables!G171+multiple_regression!B340*dummy_variables!H171+multiple_regression!B341*dummy_variables!I171+multiple_regression!B342*dummy_variables!J171</f>
        <v>674191.014006225</v>
      </c>
      <c r="G170" s="24" t="n">
        <f aca="false">E170-F170</f>
        <v>-8656.31400622462</v>
      </c>
    </row>
    <row r="171" customFormat="false" ht="15" hidden="false" customHeight="true" outlineLevel="0" collapsed="false">
      <c r="A171" s="1" t="str">
        <f aca="false">cleaned_data!A169</f>
        <v>STR-1042</v>
      </c>
      <c r="B171" s="3" t="n">
        <f aca="false">cleaned_data!B169</f>
        <v>45748</v>
      </c>
      <c r="C171" s="1" t="str">
        <f aca="false">cleaned_data!D169</f>
        <v>Mall</v>
      </c>
      <c r="D171" s="1" t="str">
        <f aca="false">cleaned_data!C169</f>
        <v>North</v>
      </c>
      <c r="E171" s="24" t="n">
        <f aca="false">cleaned_data!M169</f>
        <v>820729.29</v>
      </c>
      <c r="F171" s="24" t="n">
        <f aca="false">multiple_regression!B343+multiple_regression!B331*cleaned_data!F169+multiple_regression!B332*cleaned_data!E169+multiple_regression!B333*cleaned_data!H169+multiple_regression!B334*cleaned_data!I169+multiple_regression!B335*cleaned_data!G169+multiple_regression!B336*cleaned_data!K169+multiple_regression!B337*dummy_variables!E172+multiple_regression!B338*dummy_variables!F172+multiple_regression!B339*dummy_variables!G172+multiple_regression!B340*dummy_variables!H172+multiple_regression!B341*dummy_variables!I172+multiple_regression!B342*dummy_variables!J172</f>
        <v>815822.573935311</v>
      </c>
      <c r="G171" s="24" t="n">
        <f aca="false">E171-F171</f>
        <v>4906.71606468887</v>
      </c>
    </row>
    <row r="172" customFormat="false" ht="15" hidden="false" customHeight="true" outlineLevel="0" collapsed="false">
      <c r="A172" s="1" t="str">
        <f aca="false">cleaned_data!A170</f>
        <v>STR-1043</v>
      </c>
      <c r="B172" s="3" t="n">
        <f aca="false">cleaned_data!B170</f>
        <v>45658</v>
      </c>
      <c r="C172" s="1" t="str">
        <f aca="false">cleaned_data!D170</f>
        <v>Residential</v>
      </c>
      <c r="D172" s="1" t="str">
        <f aca="false">cleaned_data!C170</f>
        <v>East</v>
      </c>
      <c r="E172" s="24" t="n">
        <f aca="false">cleaned_data!M170</f>
        <v>739831.73</v>
      </c>
      <c r="F172" s="24" t="n">
        <f aca="false">multiple_regression!B343+multiple_regression!B331*cleaned_data!F170+multiple_regression!B332*cleaned_data!E170+multiple_regression!B333*cleaned_data!H170+multiple_regression!B334*cleaned_data!I170+multiple_regression!B335*cleaned_data!G170+multiple_regression!B336*cleaned_data!K170+multiple_regression!B337*dummy_variables!E173+multiple_regression!B338*dummy_variables!F173+multiple_regression!B339*dummy_variables!G173+multiple_regression!B340*dummy_variables!H173+multiple_regression!B341*dummy_variables!I173+multiple_regression!B342*dummy_variables!J173</f>
        <v>756801.877080719</v>
      </c>
      <c r="G172" s="24" t="n">
        <f aca="false">E172-F172</f>
        <v>-16970.1470807189</v>
      </c>
    </row>
    <row r="173" customFormat="false" ht="15" hidden="false" customHeight="true" outlineLevel="0" collapsed="false">
      <c r="A173" s="1" t="str">
        <f aca="false">cleaned_data!A171</f>
        <v>STR-1043</v>
      </c>
      <c r="B173" s="3" t="n">
        <f aca="false">cleaned_data!B171</f>
        <v>45689</v>
      </c>
      <c r="C173" s="1" t="str">
        <f aca="false">cleaned_data!D171</f>
        <v>Residential</v>
      </c>
      <c r="D173" s="1" t="str">
        <f aca="false">cleaned_data!C171</f>
        <v>East</v>
      </c>
      <c r="E173" s="24" t="n">
        <f aca="false">cleaned_data!M171</f>
        <v>593637.14</v>
      </c>
      <c r="F173" s="24" t="n">
        <f aca="false">multiple_regression!B343+multiple_regression!B331*cleaned_data!F171+multiple_regression!B332*cleaned_data!E171+multiple_regression!B333*cleaned_data!H171+multiple_regression!B334*cleaned_data!I171+multiple_regression!B335*cleaned_data!G171+multiple_regression!B336*cleaned_data!K171+multiple_regression!B337*dummy_variables!E174+multiple_regression!B338*dummy_variables!F174+multiple_regression!B339*dummy_variables!G174+multiple_regression!B340*dummy_variables!H174+multiple_regression!B341*dummy_variables!I174+multiple_regression!B342*dummy_variables!J174</f>
        <v>635213.386043791</v>
      </c>
      <c r="G173" s="24" t="n">
        <f aca="false">E173-F173</f>
        <v>-41576.2460437911</v>
      </c>
    </row>
    <row r="174" customFormat="false" ht="15" hidden="false" customHeight="true" outlineLevel="0" collapsed="false">
      <c r="A174" s="1" t="str">
        <f aca="false">cleaned_data!A172</f>
        <v>STR-1043</v>
      </c>
      <c r="B174" s="3" t="n">
        <f aca="false">cleaned_data!B172</f>
        <v>45717</v>
      </c>
      <c r="C174" s="1" t="str">
        <f aca="false">cleaned_data!D172</f>
        <v>Residential</v>
      </c>
      <c r="D174" s="1" t="str">
        <f aca="false">cleaned_data!C172</f>
        <v>East</v>
      </c>
      <c r="E174" s="24" t="n">
        <f aca="false">cleaned_data!M172</f>
        <v>769702.76</v>
      </c>
      <c r="F174" s="24" t="n">
        <f aca="false">multiple_regression!B343+multiple_regression!B331*cleaned_data!F172+multiple_regression!B332*cleaned_data!E172+multiple_regression!B333*cleaned_data!H172+multiple_regression!B334*cleaned_data!I172+multiple_regression!B335*cleaned_data!G172+multiple_regression!B336*cleaned_data!K172+multiple_regression!B337*dummy_variables!E175+multiple_regression!B338*dummy_variables!F175+multiple_regression!B339*dummy_variables!G175+multiple_regression!B340*dummy_variables!H175+multiple_regression!B341*dummy_variables!I175+multiple_regression!B342*dummy_variables!J175</f>
        <v>711505.620162026</v>
      </c>
      <c r="G174" s="24" t="n">
        <f aca="false">E174-F174</f>
        <v>58197.1398379738</v>
      </c>
    </row>
    <row r="175" customFormat="false" ht="15" hidden="false" customHeight="true" outlineLevel="0" collapsed="false">
      <c r="A175" s="1" t="str">
        <f aca="false">cleaned_data!A173</f>
        <v>STR-1043</v>
      </c>
      <c r="B175" s="3" t="n">
        <f aca="false">cleaned_data!B173</f>
        <v>45748</v>
      </c>
      <c r="C175" s="1" t="str">
        <f aca="false">cleaned_data!D173</f>
        <v>Residential</v>
      </c>
      <c r="D175" s="1" t="str">
        <f aca="false">cleaned_data!C173</f>
        <v>East</v>
      </c>
      <c r="E175" s="24" t="n">
        <f aca="false">cleaned_data!M173</f>
        <v>679731.57</v>
      </c>
      <c r="F175" s="24" t="n">
        <f aca="false">multiple_regression!B343+multiple_regression!B331*cleaned_data!F173+multiple_regression!B332*cleaned_data!E173+multiple_regression!B333*cleaned_data!H173+multiple_regression!B334*cleaned_data!I173+multiple_regression!B335*cleaned_data!G173+multiple_regression!B336*cleaned_data!K173+multiple_regression!B337*dummy_variables!E176+multiple_regression!B338*dummy_variables!F176+multiple_regression!B339*dummy_variables!G176+multiple_regression!B340*dummy_variables!H176+multiple_regression!B341*dummy_variables!I176+multiple_regression!B342*dummy_variables!J176</f>
        <v>667646.094593548</v>
      </c>
      <c r="G175" s="24" t="n">
        <f aca="false">E175-F175</f>
        <v>12085.475406452</v>
      </c>
    </row>
    <row r="176" customFormat="false" ht="15" hidden="false" customHeight="true" outlineLevel="0" collapsed="false">
      <c r="A176" s="1" t="str">
        <f aca="false">cleaned_data!A174</f>
        <v>STR-1044</v>
      </c>
      <c r="B176" s="3" t="n">
        <f aca="false">cleaned_data!B174</f>
        <v>45658</v>
      </c>
      <c r="C176" s="1" t="str">
        <f aca="false">cleaned_data!D174</f>
        <v>Residential</v>
      </c>
      <c r="D176" s="1" t="str">
        <f aca="false">cleaned_data!C174</f>
        <v>East</v>
      </c>
      <c r="E176" s="24" t="n">
        <f aca="false">cleaned_data!M174</f>
        <v>780344.18</v>
      </c>
      <c r="F176" s="24" t="n">
        <f aca="false">multiple_regression!B343+multiple_regression!B331*cleaned_data!F174+multiple_regression!B332*cleaned_data!E174+multiple_regression!B333*cleaned_data!H174+multiple_regression!B334*cleaned_data!I174+multiple_regression!B335*cleaned_data!G174+multiple_regression!B336*cleaned_data!K174+multiple_regression!B337*dummy_variables!E177+multiple_regression!B338*dummy_variables!F177+multiple_regression!B339*dummy_variables!G177+multiple_regression!B340*dummy_variables!H177+multiple_regression!B341*dummy_variables!I177+multiple_regression!B342*dummy_variables!J177</f>
        <v>748713.977143494</v>
      </c>
      <c r="G176" s="24" t="n">
        <f aca="false">E176-F176</f>
        <v>31630.2028565056</v>
      </c>
    </row>
    <row r="177" customFormat="false" ht="15" hidden="false" customHeight="true" outlineLevel="0" collapsed="false">
      <c r="A177" s="1" t="str">
        <f aca="false">cleaned_data!A175</f>
        <v>STR-1044</v>
      </c>
      <c r="B177" s="3" t="n">
        <f aca="false">cleaned_data!B175</f>
        <v>45689</v>
      </c>
      <c r="C177" s="1" t="str">
        <f aca="false">cleaned_data!D175</f>
        <v>Residential</v>
      </c>
      <c r="D177" s="1" t="str">
        <f aca="false">cleaned_data!C175</f>
        <v>East</v>
      </c>
      <c r="E177" s="24" t="n">
        <f aca="false">cleaned_data!M175</f>
        <v>721364.11</v>
      </c>
      <c r="F177" s="24" t="n">
        <f aca="false">multiple_regression!B343+multiple_regression!B331*cleaned_data!F175+multiple_regression!B332*cleaned_data!E175+multiple_regression!B333*cleaned_data!H175+multiple_regression!B334*cleaned_data!I175+multiple_regression!B335*cleaned_data!G175+multiple_regression!B336*cleaned_data!K175+multiple_regression!B337*dummy_variables!E178+multiple_regression!B338*dummy_variables!F178+multiple_regression!B339*dummy_variables!G178+multiple_regression!B340*dummy_variables!H178+multiple_regression!B341*dummy_variables!I178+multiple_regression!B342*dummy_variables!J178</f>
        <v>736537.164742469</v>
      </c>
      <c r="G177" s="24" t="n">
        <f aca="false">E177-F177</f>
        <v>-15173.0547424689</v>
      </c>
    </row>
    <row r="178" customFormat="false" ht="15" hidden="false" customHeight="true" outlineLevel="0" collapsed="false">
      <c r="A178" s="1" t="str">
        <f aca="false">cleaned_data!A176</f>
        <v>STR-1044</v>
      </c>
      <c r="B178" s="3" t="n">
        <f aca="false">cleaned_data!B176</f>
        <v>45717</v>
      </c>
      <c r="C178" s="1" t="str">
        <f aca="false">cleaned_data!D176</f>
        <v>Residential</v>
      </c>
      <c r="D178" s="1" t="str">
        <f aca="false">cleaned_data!C176</f>
        <v>East</v>
      </c>
      <c r="E178" s="24" t="n">
        <f aca="false">cleaned_data!M176</f>
        <v>758138.29</v>
      </c>
      <c r="F178" s="24" t="n">
        <f aca="false">multiple_regression!B343+multiple_regression!B331*cleaned_data!F176+multiple_regression!B332*cleaned_data!E176+multiple_regression!B333*cleaned_data!H176+multiple_regression!B334*cleaned_data!I176+multiple_regression!B335*cleaned_data!G176+multiple_regression!B336*cleaned_data!K176+multiple_regression!B337*dummy_variables!E179+multiple_regression!B338*dummy_variables!F179+multiple_regression!B339*dummy_variables!G179+multiple_regression!B340*dummy_variables!H179+multiple_regression!B341*dummy_variables!I179+multiple_regression!B342*dummy_variables!J179</f>
        <v>752071.430344281</v>
      </c>
      <c r="G178" s="24" t="n">
        <f aca="false">E178-F178</f>
        <v>6066.85965571867</v>
      </c>
    </row>
    <row r="179" customFormat="false" ht="15" hidden="false" customHeight="true" outlineLevel="0" collapsed="false">
      <c r="A179" s="1" t="str">
        <f aca="false">cleaned_data!A177</f>
        <v>STR-1044</v>
      </c>
      <c r="B179" s="3" t="n">
        <f aca="false">cleaned_data!B177</f>
        <v>45748</v>
      </c>
      <c r="C179" s="1" t="str">
        <f aca="false">cleaned_data!D177</f>
        <v>Residential</v>
      </c>
      <c r="D179" s="1" t="str">
        <f aca="false">cleaned_data!C177</f>
        <v>East</v>
      </c>
      <c r="E179" s="24" t="n">
        <f aca="false">cleaned_data!M177</f>
        <v>804264</v>
      </c>
      <c r="F179" s="24" t="n">
        <f aca="false">multiple_regression!B343+multiple_regression!B331*cleaned_data!F177+multiple_regression!B332*cleaned_data!E177+multiple_regression!B333*cleaned_data!H177+multiple_regression!B334*cleaned_data!I177+multiple_regression!B335*cleaned_data!G177+multiple_regression!B336*cleaned_data!K177+multiple_regression!B337*dummy_variables!E180+multiple_regression!B338*dummy_variables!F180+multiple_regression!B339*dummy_variables!G180+multiple_regression!B340*dummy_variables!H180+multiple_regression!B341*dummy_variables!I180+multiple_regression!B342*dummy_variables!J180</f>
        <v>800137.372659288</v>
      </c>
      <c r="G179" s="24" t="n">
        <f aca="false">E179-F179</f>
        <v>4126.62734071165</v>
      </c>
    </row>
    <row r="180" customFormat="false" ht="15" hidden="false" customHeight="true" outlineLevel="0" collapsed="false">
      <c r="A180" s="1" t="str">
        <f aca="false">cleaned_data!A178</f>
        <v>STR-1045</v>
      </c>
      <c r="B180" s="3" t="n">
        <f aca="false">cleaned_data!B178</f>
        <v>45658</v>
      </c>
      <c r="C180" s="1" t="str">
        <f aca="false">cleaned_data!D178</f>
        <v>Airport</v>
      </c>
      <c r="D180" s="1" t="str">
        <f aca="false">cleaned_data!C178</f>
        <v>West</v>
      </c>
      <c r="E180" s="24" t="n">
        <f aca="false">cleaned_data!M178</f>
        <v>887537.75</v>
      </c>
      <c r="F180" s="24" t="n">
        <f aca="false">multiple_regression!B343+multiple_regression!B331*cleaned_data!F178+multiple_regression!B332*cleaned_data!E178+multiple_regression!B333*cleaned_data!H178+multiple_regression!B334*cleaned_data!I178+multiple_regression!B335*cleaned_data!G178+multiple_regression!B336*cleaned_data!K178+multiple_regression!B337*dummy_variables!E181+multiple_regression!B338*dummy_variables!F181+multiple_regression!B339*dummy_variables!G181+multiple_regression!B340*dummy_variables!H181+multiple_regression!B341*dummy_variables!I181+multiple_regression!B342*dummy_variables!J181</f>
        <v>891318.324359206</v>
      </c>
      <c r="G180" s="24" t="n">
        <f aca="false">E180-F180</f>
        <v>-3780.57435920567</v>
      </c>
    </row>
    <row r="181" customFormat="false" ht="15" hidden="false" customHeight="true" outlineLevel="0" collapsed="false">
      <c r="A181" s="1" t="str">
        <f aca="false">cleaned_data!A179</f>
        <v>STR-1045</v>
      </c>
      <c r="B181" s="3" t="n">
        <f aca="false">cleaned_data!B179</f>
        <v>45689</v>
      </c>
      <c r="C181" s="1" t="str">
        <f aca="false">cleaned_data!D179</f>
        <v>Airport</v>
      </c>
      <c r="D181" s="1" t="str">
        <f aca="false">cleaned_data!C179</f>
        <v>West</v>
      </c>
      <c r="E181" s="24" t="n">
        <f aca="false">cleaned_data!M179</f>
        <v>783582</v>
      </c>
      <c r="F181" s="24" t="n">
        <f aca="false">multiple_regression!B343+multiple_regression!B331*cleaned_data!F179+multiple_regression!B332*cleaned_data!E179+multiple_regression!B333*cleaned_data!H179+multiple_regression!B334*cleaned_data!I179+multiple_regression!B335*cleaned_data!G179+multiple_regression!B336*cleaned_data!K179+multiple_regression!B337*dummy_variables!E182+multiple_regression!B338*dummy_variables!F182+multiple_regression!B339*dummy_variables!G182+multiple_regression!B340*dummy_variables!H182+multiple_regression!B341*dummy_variables!I182+multiple_regression!B342*dummy_variables!J182</f>
        <v>734750.643265393</v>
      </c>
      <c r="G181" s="24" t="n">
        <f aca="false">E181-F181</f>
        <v>48831.3567346067</v>
      </c>
    </row>
    <row r="182" customFormat="false" ht="15" hidden="false" customHeight="true" outlineLevel="0" collapsed="false">
      <c r="A182" s="1" t="str">
        <f aca="false">cleaned_data!A180</f>
        <v>STR-1045</v>
      </c>
      <c r="B182" s="3" t="n">
        <f aca="false">cleaned_data!B180</f>
        <v>45717</v>
      </c>
      <c r="C182" s="1" t="str">
        <f aca="false">cleaned_data!D180</f>
        <v>Airport</v>
      </c>
      <c r="D182" s="1" t="str">
        <f aca="false">cleaned_data!C180</f>
        <v>West</v>
      </c>
      <c r="E182" s="24" t="n">
        <f aca="false">cleaned_data!M180</f>
        <v>781955.52</v>
      </c>
      <c r="F182" s="24" t="n">
        <f aca="false">multiple_regression!B343+multiple_regression!B331*cleaned_data!F180+multiple_regression!B332*cleaned_data!E180+multiple_regression!B333*cleaned_data!H180+multiple_regression!B334*cleaned_data!I180+multiple_regression!B335*cleaned_data!G180+multiple_regression!B336*cleaned_data!K180+multiple_regression!B337*dummy_variables!E183+multiple_regression!B338*dummy_variables!F183+multiple_regression!B339*dummy_variables!G183+multiple_regression!B340*dummy_variables!H183+multiple_regression!B341*dummy_variables!I183+multiple_regression!B342*dummy_variables!J183</f>
        <v>767804.198960429</v>
      </c>
      <c r="G182" s="24" t="n">
        <f aca="false">E182-F182</f>
        <v>14151.3210395708</v>
      </c>
    </row>
    <row r="183" customFormat="false" ht="15" hidden="false" customHeight="true" outlineLevel="0" collapsed="false">
      <c r="A183" s="1" t="str">
        <f aca="false">cleaned_data!A181</f>
        <v>STR-1045</v>
      </c>
      <c r="B183" s="3" t="n">
        <f aca="false">cleaned_data!B181</f>
        <v>45748</v>
      </c>
      <c r="C183" s="1" t="str">
        <f aca="false">cleaned_data!D181</f>
        <v>Airport</v>
      </c>
      <c r="D183" s="1" t="str">
        <f aca="false">cleaned_data!C181</f>
        <v>West</v>
      </c>
      <c r="E183" s="24" t="n">
        <f aca="false">cleaned_data!M181</f>
        <v>898031.04</v>
      </c>
      <c r="F183" s="24" t="n">
        <f aca="false">multiple_regression!B343+multiple_regression!B331*cleaned_data!F181+multiple_regression!B332*cleaned_data!E181+multiple_regression!B333*cleaned_data!H181+multiple_regression!B334*cleaned_data!I181+multiple_regression!B335*cleaned_data!G181+multiple_regression!B336*cleaned_data!K181+multiple_regression!B337*dummy_variables!E184+multiple_regression!B338*dummy_variables!F184+multiple_regression!B339*dummy_variables!G184+multiple_regression!B340*dummy_variables!H184+multiple_regression!B341*dummy_variables!I184+multiple_regression!B342*dummy_variables!J184</f>
        <v>846528.021788162</v>
      </c>
      <c r="G183" s="24" t="n">
        <f aca="false">E183-F183</f>
        <v>51503.0182118383</v>
      </c>
    </row>
    <row r="184" customFormat="false" ht="15" hidden="false" customHeight="true" outlineLevel="0" collapsed="false">
      <c r="A184" s="1" t="str">
        <f aca="false">cleaned_data!A182</f>
        <v>STR-1046</v>
      </c>
      <c r="B184" s="3" t="n">
        <f aca="false">cleaned_data!B182</f>
        <v>45658</v>
      </c>
      <c r="C184" s="1" t="str">
        <f aca="false">cleaned_data!D182</f>
        <v>Residential</v>
      </c>
      <c r="D184" s="1" t="str">
        <f aca="false">cleaned_data!C182</f>
        <v>West</v>
      </c>
      <c r="E184" s="24" t="n">
        <f aca="false">cleaned_data!M182</f>
        <v>855341.28</v>
      </c>
      <c r="F184" s="24" t="n">
        <f aca="false">multiple_regression!B343+multiple_regression!B331*cleaned_data!F182+multiple_regression!B332*cleaned_data!E182+multiple_regression!B333*cleaned_data!H182+multiple_regression!B334*cleaned_data!I182+multiple_regression!B335*cleaned_data!G182+multiple_regression!B336*cleaned_data!K182+multiple_regression!B337*dummy_variables!E185+multiple_regression!B338*dummy_variables!F185+multiple_regression!B339*dummy_variables!G185+multiple_regression!B340*dummy_variables!H185+multiple_regression!B341*dummy_variables!I185+multiple_regression!B342*dummy_variables!J185</f>
        <v>860723.065133374</v>
      </c>
      <c r="G184" s="24" t="n">
        <f aca="false">E184-F184</f>
        <v>-5381.78513337369</v>
      </c>
    </row>
    <row r="185" customFormat="false" ht="15" hidden="false" customHeight="true" outlineLevel="0" collapsed="false">
      <c r="A185" s="1" t="str">
        <f aca="false">cleaned_data!A183</f>
        <v>STR-1046</v>
      </c>
      <c r="B185" s="3" t="n">
        <f aca="false">cleaned_data!B183</f>
        <v>45689</v>
      </c>
      <c r="C185" s="1" t="str">
        <f aca="false">cleaned_data!D183</f>
        <v>Residential</v>
      </c>
      <c r="D185" s="1" t="str">
        <f aca="false">cleaned_data!C183</f>
        <v>West</v>
      </c>
      <c r="E185" s="24" t="n">
        <f aca="false">cleaned_data!M183</f>
        <v>751393.88</v>
      </c>
      <c r="F185" s="24" t="n">
        <f aca="false">multiple_regression!B343+multiple_regression!B331*cleaned_data!F183+multiple_regression!B332*cleaned_data!E183+multiple_regression!B333*cleaned_data!H183+multiple_regression!B334*cleaned_data!I183+multiple_regression!B335*cleaned_data!G183+multiple_regression!B336*cleaned_data!K183+multiple_regression!B337*dummy_variables!E186+multiple_regression!B338*dummy_variables!F186+multiple_regression!B339*dummy_variables!G186+multiple_regression!B340*dummy_variables!H186+multiple_regression!B341*dummy_variables!I186+multiple_regression!B342*dummy_variables!J186</f>
        <v>743293.129999196</v>
      </c>
      <c r="G185" s="24" t="n">
        <f aca="false">E185-F185</f>
        <v>8100.75000080455</v>
      </c>
    </row>
    <row r="186" customFormat="false" ht="15" hidden="false" customHeight="true" outlineLevel="0" collapsed="false">
      <c r="A186" s="1" t="str">
        <f aca="false">cleaned_data!A184</f>
        <v>STR-1046</v>
      </c>
      <c r="B186" s="3" t="n">
        <f aca="false">cleaned_data!B184</f>
        <v>45717</v>
      </c>
      <c r="C186" s="1" t="str">
        <f aca="false">cleaned_data!D184</f>
        <v>Residential</v>
      </c>
      <c r="D186" s="1" t="str">
        <f aca="false">cleaned_data!C184</f>
        <v>West</v>
      </c>
      <c r="E186" s="24" t="n">
        <f aca="false">cleaned_data!M184</f>
        <v>761077.08</v>
      </c>
      <c r="F186" s="24" t="n">
        <f aca="false">multiple_regression!B343+multiple_regression!B331*cleaned_data!F184+multiple_regression!B332*cleaned_data!E184+multiple_regression!B333*cleaned_data!H184+multiple_regression!B334*cleaned_data!I184+multiple_regression!B335*cleaned_data!G184+multiple_regression!B336*cleaned_data!K184+multiple_regression!B337*dummy_variables!E187+multiple_regression!B338*dummy_variables!F187+multiple_regression!B339*dummy_variables!G187+multiple_regression!B340*dummy_variables!H187+multiple_regression!B341*dummy_variables!I187+multiple_regression!B342*dummy_variables!J187</f>
        <v>773041.978004023</v>
      </c>
      <c r="G186" s="24" t="n">
        <f aca="false">E186-F186</f>
        <v>-11964.898004023</v>
      </c>
    </row>
    <row r="187" customFormat="false" ht="15" hidden="false" customHeight="true" outlineLevel="0" collapsed="false">
      <c r="A187" s="1" t="str">
        <f aca="false">cleaned_data!A185</f>
        <v>STR-1046</v>
      </c>
      <c r="B187" s="3" t="n">
        <f aca="false">cleaned_data!B185</f>
        <v>45748</v>
      </c>
      <c r="C187" s="1" t="str">
        <f aca="false">cleaned_data!D185</f>
        <v>Residential</v>
      </c>
      <c r="D187" s="1" t="str">
        <f aca="false">cleaned_data!C185</f>
        <v>West</v>
      </c>
      <c r="E187" s="24" t="n">
        <f aca="false">cleaned_data!M185</f>
        <v>819660.59</v>
      </c>
      <c r="F187" s="24" t="n">
        <f aca="false">multiple_regression!B343+multiple_regression!B331*cleaned_data!F185+multiple_regression!B332*cleaned_data!E185+multiple_regression!B333*cleaned_data!H185+multiple_regression!B334*cleaned_data!I185+multiple_regression!B335*cleaned_data!G185+multiple_regression!B336*cleaned_data!K185+multiple_regression!B337*dummy_variables!E188+multiple_regression!B338*dummy_variables!F188+multiple_regression!B339*dummy_variables!G188+multiple_regression!B340*dummy_variables!H188+multiple_regression!B341*dummy_variables!I188+multiple_regression!B342*dummy_variables!J188</f>
        <v>822536.860927002</v>
      </c>
      <c r="G187" s="24" t="n">
        <f aca="false">E187-F187</f>
        <v>-2876.27092700207</v>
      </c>
    </row>
    <row r="188" customFormat="false" ht="15" hidden="false" customHeight="true" outlineLevel="0" collapsed="false">
      <c r="A188" s="1" t="str">
        <f aca="false">cleaned_data!A186</f>
        <v>STR-1047</v>
      </c>
      <c r="B188" s="3" t="n">
        <f aca="false">cleaned_data!B186</f>
        <v>45658</v>
      </c>
      <c r="C188" s="1" t="str">
        <f aca="false">cleaned_data!D186</f>
        <v>High Street</v>
      </c>
      <c r="D188" s="1" t="str">
        <f aca="false">cleaned_data!C186</f>
        <v>North</v>
      </c>
      <c r="E188" s="24" t="n">
        <f aca="false">cleaned_data!M186</f>
        <v>681855.56</v>
      </c>
      <c r="F188" s="24" t="n">
        <f aca="false">multiple_regression!B343+multiple_regression!B331*cleaned_data!F186+multiple_regression!B332*cleaned_data!E186+multiple_regression!B333*cleaned_data!H186+multiple_regression!B334*cleaned_data!I186+multiple_regression!B335*cleaned_data!G186+multiple_regression!B336*cleaned_data!K186+multiple_regression!B337*dummy_variables!E189+multiple_regression!B338*dummy_variables!F189+multiple_regression!B339*dummy_variables!G189+multiple_regression!B340*dummy_variables!H189+multiple_regression!B341*dummy_variables!I189+multiple_regression!B342*dummy_variables!J189</f>
        <v>688606.908943041</v>
      </c>
      <c r="G188" s="24" t="n">
        <f aca="false">E188-F188</f>
        <v>-6751.34894304047</v>
      </c>
    </row>
    <row r="189" customFormat="false" ht="15" hidden="false" customHeight="true" outlineLevel="0" collapsed="false">
      <c r="A189" s="1" t="str">
        <f aca="false">cleaned_data!A187</f>
        <v>STR-1047</v>
      </c>
      <c r="B189" s="3" t="n">
        <f aca="false">cleaned_data!B187</f>
        <v>45689</v>
      </c>
      <c r="C189" s="1" t="str">
        <f aca="false">cleaned_data!D187</f>
        <v>High Street</v>
      </c>
      <c r="D189" s="1" t="str">
        <f aca="false">cleaned_data!C187</f>
        <v>North</v>
      </c>
      <c r="E189" s="24" t="n">
        <f aca="false">cleaned_data!M187</f>
        <v>678311.17</v>
      </c>
      <c r="F189" s="24" t="n">
        <f aca="false">multiple_regression!B343+multiple_regression!B331*cleaned_data!F187+multiple_regression!B332*cleaned_data!E187+multiple_regression!B333*cleaned_data!H187+multiple_regression!B334*cleaned_data!I187+multiple_regression!B335*cleaned_data!G187+multiple_regression!B336*cleaned_data!K187+multiple_regression!B337*dummy_variables!E190+multiple_regression!B338*dummy_variables!F190+multiple_regression!B339*dummy_variables!G190+multiple_regression!B340*dummy_variables!H190+multiple_regression!B341*dummy_variables!I190+multiple_regression!B342*dummy_variables!J190</f>
        <v>655316.387433461</v>
      </c>
      <c r="G189" s="24" t="n">
        <f aca="false">E189-F189</f>
        <v>22994.782566539</v>
      </c>
    </row>
    <row r="190" customFormat="false" ht="15" hidden="false" customHeight="true" outlineLevel="0" collapsed="false">
      <c r="A190" s="1" t="str">
        <f aca="false">cleaned_data!A188</f>
        <v>STR-1047</v>
      </c>
      <c r="B190" s="3" t="n">
        <f aca="false">cleaned_data!B188</f>
        <v>45717</v>
      </c>
      <c r="C190" s="1" t="str">
        <f aca="false">cleaned_data!D188</f>
        <v>High Street</v>
      </c>
      <c r="D190" s="1" t="str">
        <f aca="false">cleaned_data!C188</f>
        <v>North</v>
      </c>
      <c r="E190" s="24" t="n">
        <f aca="false">cleaned_data!M188</f>
        <v>765906.95</v>
      </c>
      <c r="F190" s="24" t="n">
        <f aca="false">multiple_regression!B343+multiple_regression!B331*cleaned_data!F188+multiple_regression!B332*cleaned_data!E188+multiple_regression!B333*cleaned_data!H188+multiple_regression!B334*cleaned_data!I188+multiple_regression!B335*cleaned_data!G188+multiple_regression!B336*cleaned_data!K188+multiple_regression!B337*dummy_variables!E191+multiple_regression!B338*dummy_variables!F191+multiple_regression!B339*dummy_variables!G191+multiple_regression!B340*dummy_variables!H191+multiple_regression!B341*dummy_variables!I191+multiple_regression!B342*dummy_variables!J191</f>
        <v>708607.941690194</v>
      </c>
      <c r="G190" s="24" t="n">
        <f aca="false">E190-F190</f>
        <v>57299.0083098062</v>
      </c>
    </row>
    <row r="191" customFormat="false" ht="15" hidden="false" customHeight="true" outlineLevel="0" collapsed="false">
      <c r="A191" s="1" t="str">
        <f aca="false">cleaned_data!A189</f>
        <v>STR-1047</v>
      </c>
      <c r="B191" s="3" t="n">
        <f aca="false">cleaned_data!B189</f>
        <v>45748</v>
      </c>
      <c r="C191" s="1" t="str">
        <f aca="false">cleaned_data!D189</f>
        <v>High Street</v>
      </c>
      <c r="D191" s="1" t="str">
        <f aca="false">cleaned_data!C189</f>
        <v>North</v>
      </c>
      <c r="E191" s="24" t="n">
        <f aca="false">cleaned_data!M189</f>
        <v>712546.38</v>
      </c>
      <c r="F191" s="24" t="n">
        <f aca="false">multiple_regression!B343+multiple_regression!B331*cleaned_data!F189+multiple_regression!B332*cleaned_data!E189+multiple_regression!B333*cleaned_data!H189+multiple_regression!B334*cleaned_data!I189+multiple_regression!B335*cleaned_data!G189+multiple_regression!B336*cleaned_data!K189+multiple_regression!B337*dummy_variables!E192+multiple_regression!B338*dummy_variables!F192+multiple_regression!B339*dummy_variables!G192+multiple_regression!B340*dummy_variables!H192+multiple_regression!B341*dummy_variables!I192+multiple_regression!B342*dummy_variables!J192</f>
        <v>704383.745095498</v>
      </c>
      <c r="G191" s="24" t="n">
        <f aca="false">E191-F191</f>
        <v>8162.63490450161</v>
      </c>
    </row>
    <row r="192" customFormat="false" ht="15" hidden="false" customHeight="true" outlineLevel="0" collapsed="false">
      <c r="A192" s="1" t="str">
        <f aca="false">cleaned_data!A190</f>
        <v>STR-1048</v>
      </c>
      <c r="B192" s="3" t="n">
        <f aca="false">cleaned_data!B190</f>
        <v>45658</v>
      </c>
      <c r="C192" s="1" t="str">
        <f aca="false">cleaned_data!D190</f>
        <v>High Street</v>
      </c>
      <c r="D192" s="1" t="str">
        <f aca="false">cleaned_data!C190</f>
        <v>East</v>
      </c>
      <c r="E192" s="24" t="n">
        <f aca="false">cleaned_data!M190</f>
        <v>625993.83</v>
      </c>
      <c r="F192" s="24" t="n">
        <f aca="false">multiple_regression!B343+multiple_regression!B331*cleaned_data!F190+multiple_regression!B332*cleaned_data!E190+multiple_regression!B333*cleaned_data!H190+multiple_regression!B334*cleaned_data!I190+multiple_regression!B335*cleaned_data!G190+multiple_regression!B336*cleaned_data!K190+multiple_regression!B337*dummy_variables!E193+multiple_regression!B338*dummy_variables!F193+multiple_regression!B339*dummy_variables!G193+multiple_regression!B340*dummy_variables!H193+multiple_regression!B341*dummy_variables!I193+multiple_regression!B342*dummy_variables!J193</f>
        <v>583784.111023366</v>
      </c>
      <c r="G192" s="24" t="n">
        <f aca="false">E192-F192</f>
        <v>42209.7189766342</v>
      </c>
    </row>
    <row r="193" customFormat="false" ht="15" hidden="false" customHeight="true" outlineLevel="0" collapsed="false">
      <c r="A193" s="1" t="str">
        <f aca="false">cleaned_data!A191</f>
        <v>STR-1048</v>
      </c>
      <c r="B193" s="3" t="n">
        <f aca="false">cleaned_data!B191</f>
        <v>45689</v>
      </c>
      <c r="C193" s="1" t="str">
        <f aca="false">cleaned_data!D191</f>
        <v>High Street</v>
      </c>
      <c r="D193" s="1" t="str">
        <f aca="false">cleaned_data!C191</f>
        <v>East</v>
      </c>
      <c r="E193" s="24" t="n">
        <f aca="false">cleaned_data!M191</f>
        <v>550962.93</v>
      </c>
      <c r="F193" s="24" t="n">
        <f aca="false">multiple_regression!B343+multiple_regression!B331*cleaned_data!F191+multiple_regression!B332*cleaned_data!E191+multiple_regression!B333*cleaned_data!H191+multiple_regression!B334*cleaned_data!I191+multiple_regression!B335*cleaned_data!G191+multiple_regression!B336*cleaned_data!K191+multiple_regression!B337*dummy_variables!E194+multiple_regression!B338*dummy_variables!F194+multiple_regression!B339*dummy_variables!G194+multiple_regression!B340*dummy_variables!H194+multiple_regression!B341*dummy_variables!I194+multiple_regression!B342*dummy_variables!J194</f>
        <v>541003.515458081</v>
      </c>
      <c r="G193" s="24" t="n">
        <f aca="false">E193-F193</f>
        <v>9959.41454191948</v>
      </c>
    </row>
    <row r="194" customFormat="false" ht="15" hidden="false" customHeight="true" outlineLevel="0" collapsed="false">
      <c r="A194" s="1" t="str">
        <f aca="false">cleaned_data!A192</f>
        <v>STR-1048</v>
      </c>
      <c r="B194" s="3" t="n">
        <f aca="false">cleaned_data!B192</f>
        <v>45717</v>
      </c>
      <c r="C194" s="1" t="str">
        <f aca="false">cleaned_data!D192</f>
        <v>High Street</v>
      </c>
      <c r="D194" s="1" t="str">
        <f aca="false">cleaned_data!C192</f>
        <v>East</v>
      </c>
      <c r="E194" s="24" t="n">
        <f aca="false">cleaned_data!M192</f>
        <v>443275.59</v>
      </c>
      <c r="F194" s="24" t="n">
        <f aca="false">multiple_regression!B343+multiple_regression!B331*cleaned_data!F192+multiple_regression!B332*cleaned_data!E192+multiple_regression!B333*cleaned_data!H192+multiple_regression!B334*cleaned_data!I192+multiple_regression!B335*cleaned_data!G192+multiple_regression!B336*cleaned_data!K192+multiple_regression!B337*dummy_variables!E195+multiple_regression!B338*dummy_variables!F195+multiple_regression!B339*dummy_variables!G195+multiple_regression!B340*dummy_variables!H195+multiple_regression!B341*dummy_variables!I195+multiple_regression!B342*dummy_variables!J195</f>
        <v>456031.113489623</v>
      </c>
      <c r="G194" s="24" t="n">
        <f aca="false">E194-F194</f>
        <v>-12755.5234896233</v>
      </c>
    </row>
    <row r="195" customFormat="false" ht="15" hidden="false" customHeight="true" outlineLevel="0" collapsed="false">
      <c r="A195" s="1" t="str">
        <f aca="false">cleaned_data!A193</f>
        <v>STR-1048</v>
      </c>
      <c r="B195" s="3" t="n">
        <f aca="false">cleaned_data!B193</f>
        <v>45748</v>
      </c>
      <c r="C195" s="1" t="str">
        <f aca="false">cleaned_data!D193</f>
        <v>High Street</v>
      </c>
      <c r="D195" s="1" t="str">
        <f aca="false">cleaned_data!C193</f>
        <v>East</v>
      </c>
      <c r="E195" s="24" t="n">
        <f aca="false">cleaned_data!M193</f>
        <v>554012.07</v>
      </c>
      <c r="F195" s="24" t="n">
        <f aca="false">multiple_regression!B343+multiple_regression!B331*cleaned_data!F193+multiple_regression!B332*cleaned_data!E193+multiple_regression!B333*cleaned_data!H193+multiple_regression!B334*cleaned_data!I193+multiple_regression!B335*cleaned_data!G193+multiple_regression!B336*cleaned_data!K193+multiple_regression!B337*dummy_variables!E196+multiple_regression!B338*dummy_variables!F196+multiple_regression!B339*dummy_variables!G196+multiple_regression!B340*dummy_variables!H196+multiple_regression!B341*dummy_variables!I196+multiple_regression!B342*dummy_variables!J196</f>
        <v>593962.589452318</v>
      </c>
      <c r="G195" s="24" t="n">
        <f aca="false">E195-F195</f>
        <v>-39950.5194523183</v>
      </c>
    </row>
    <row r="196" customFormat="false" ht="15" hidden="false" customHeight="true" outlineLevel="0" collapsed="false">
      <c r="A196" s="1" t="str">
        <f aca="false">cleaned_data!A194</f>
        <v>STR-1049</v>
      </c>
      <c r="B196" s="3" t="n">
        <f aca="false">cleaned_data!B194</f>
        <v>45658</v>
      </c>
      <c r="C196" s="1" t="str">
        <f aca="false">cleaned_data!D194</f>
        <v>Residential</v>
      </c>
      <c r="D196" s="1" t="str">
        <f aca="false">cleaned_data!C194</f>
        <v>West</v>
      </c>
      <c r="E196" s="24" t="n">
        <f aca="false">cleaned_data!M194</f>
        <v>643428.85</v>
      </c>
      <c r="F196" s="24" t="n">
        <f aca="false">multiple_regression!B343+multiple_regression!B331*cleaned_data!F194+multiple_regression!B332*cleaned_data!E194+multiple_regression!B333*cleaned_data!H194+multiple_regression!B334*cleaned_data!I194+multiple_regression!B335*cleaned_data!G194+multiple_regression!B336*cleaned_data!K194+multiple_regression!B337*dummy_variables!E197+multiple_regression!B338*dummy_variables!F197+multiple_regression!B339*dummy_variables!G197+multiple_regression!B340*dummy_variables!H197+multiple_regression!B341*dummy_variables!I197+multiple_regression!B342*dummy_variables!J197</f>
        <v>677676.700689204</v>
      </c>
      <c r="G196" s="24" t="n">
        <f aca="false">E196-F196</f>
        <v>-34247.8506892035</v>
      </c>
    </row>
    <row r="197" customFormat="false" ht="15" hidden="false" customHeight="true" outlineLevel="0" collapsed="false">
      <c r="A197" s="1" t="str">
        <f aca="false">cleaned_data!A195</f>
        <v>STR-1049</v>
      </c>
      <c r="B197" s="3" t="n">
        <f aca="false">cleaned_data!B195</f>
        <v>45689</v>
      </c>
      <c r="C197" s="1" t="str">
        <f aca="false">cleaned_data!D195</f>
        <v>Residential</v>
      </c>
      <c r="D197" s="1" t="str">
        <f aca="false">cleaned_data!C195</f>
        <v>West</v>
      </c>
      <c r="E197" s="24" t="n">
        <f aca="false">cleaned_data!M195</f>
        <v>611924.27</v>
      </c>
      <c r="F197" s="24" t="n">
        <f aca="false">multiple_regression!B343+multiple_regression!B331*cleaned_data!F195+multiple_regression!B332*cleaned_data!E195+multiple_regression!B333*cleaned_data!H195+multiple_regression!B334*cleaned_data!I195+multiple_regression!B335*cleaned_data!G195+multiple_regression!B336*cleaned_data!K195+multiple_regression!B337*dummy_variables!E198+multiple_regression!B338*dummy_variables!F198+multiple_regression!B339*dummy_variables!G198+multiple_regression!B340*dummy_variables!H198+multiple_regression!B341*dummy_variables!I198+multiple_regression!B342*dummy_variables!J198</f>
        <v>609990.701443638</v>
      </c>
      <c r="G197" s="24" t="n">
        <f aca="false">E197-F197</f>
        <v>1933.56855636241</v>
      </c>
    </row>
    <row r="198" customFormat="false" ht="15" hidden="false" customHeight="true" outlineLevel="0" collapsed="false">
      <c r="A198" s="1" t="str">
        <f aca="false">cleaned_data!A196</f>
        <v>STR-1049</v>
      </c>
      <c r="B198" s="3" t="n">
        <f aca="false">cleaned_data!B196</f>
        <v>45717</v>
      </c>
      <c r="C198" s="1" t="str">
        <f aca="false">cleaned_data!D196</f>
        <v>Residential</v>
      </c>
      <c r="D198" s="1" t="str">
        <f aca="false">cleaned_data!C196</f>
        <v>West</v>
      </c>
      <c r="E198" s="24" t="n">
        <f aca="false">cleaned_data!M196</f>
        <v>559422.02</v>
      </c>
      <c r="F198" s="24" t="n">
        <f aca="false">multiple_regression!B343+multiple_regression!B331*cleaned_data!F196+multiple_regression!B332*cleaned_data!E196+multiple_regression!B333*cleaned_data!H196+multiple_regression!B334*cleaned_data!I196+multiple_regression!B335*cleaned_data!G196+multiple_regression!B336*cleaned_data!K196+multiple_regression!B337*dummy_variables!E199+multiple_regression!B338*dummy_variables!F199+multiple_regression!B339*dummy_variables!G199+multiple_regression!B340*dummy_variables!H199+multiple_regression!B341*dummy_variables!I199+multiple_regression!B342*dummy_variables!J199</f>
        <v>562455.235637629</v>
      </c>
      <c r="G198" s="24" t="n">
        <f aca="false">E198-F198</f>
        <v>-3033.21563762927</v>
      </c>
    </row>
    <row r="199" customFormat="false" ht="15" hidden="false" customHeight="true" outlineLevel="0" collapsed="false">
      <c r="A199" s="1" t="str">
        <f aca="false">cleaned_data!A197</f>
        <v>STR-1049</v>
      </c>
      <c r="B199" s="3" t="n">
        <f aca="false">cleaned_data!B197</f>
        <v>45748</v>
      </c>
      <c r="C199" s="1" t="str">
        <f aca="false">cleaned_data!D197</f>
        <v>Residential</v>
      </c>
      <c r="D199" s="1" t="str">
        <f aca="false">cleaned_data!C197</f>
        <v>West</v>
      </c>
      <c r="E199" s="24" t="n">
        <f aca="false">cleaned_data!M197</f>
        <v>449465.06</v>
      </c>
      <c r="F199" s="24" t="n">
        <f aca="false">multiple_regression!B343+multiple_regression!B331*cleaned_data!F197+multiple_regression!B332*cleaned_data!E197+multiple_regression!B333*cleaned_data!H197+multiple_regression!B334*cleaned_data!I197+multiple_regression!B335*cleaned_data!G197+multiple_regression!B336*cleaned_data!K197+multiple_regression!B337*dummy_variables!E200+multiple_regression!B338*dummy_variables!F200+multiple_regression!B339*dummy_variables!G200+multiple_regression!B340*dummy_variables!H200+multiple_regression!B341*dummy_variables!I200+multiple_regression!B342*dummy_variables!J200</f>
        <v>514180.797985712</v>
      </c>
      <c r="G199" s="24" t="n">
        <f aca="false">E199-F199</f>
        <v>-64715.7379857122</v>
      </c>
    </row>
    <row r="200" customFormat="false" ht="15" hidden="false" customHeight="true" outlineLevel="0" collapsed="false">
      <c r="A200" s="1" t="str">
        <f aca="false">cleaned_data!A198</f>
        <v>STR-1050</v>
      </c>
      <c r="B200" s="3" t="n">
        <f aca="false">cleaned_data!B198</f>
        <v>45658</v>
      </c>
      <c r="C200" s="1" t="str">
        <f aca="false">cleaned_data!D198</f>
        <v>Residential</v>
      </c>
      <c r="D200" s="1" t="str">
        <f aca="false">cleaned_data!C198</f>
        <v>North</v>
      </c>
      <c r="E200" s="24" t="n">
        <f aca="false">cleaned_data!M198</f>
        <v>691447.43</v>
      </c>
      <c r="F200" s="24" t="n">
        <f aca="false">multiple_regression!B343+multiple_regression!B331*cleaned_data!F198+multiple_regression!B332*cleaned_data!E198+multiple_regression!B333*cleaned_data!H198+multiple_regression!B334*cleaned_data!I198+multiple_regression!B335*cleaned_data!G198+multiple_regression!B336*cleaned_data!K198+multiple_regression!B337*dummy_variables!E201+multiple_regression!B338*dummy_variables!F201+multiple_regression!B339*dummy_variables!G201+multiple_regression!B340*dummy_variables!H201+multiple_regression!B341*dummy_variables!I201+multiple_regression!B342*dummy_variables!J201</f>
        <v>619651.225766913</v>
      </c>
      <c r="G200" s="24" t="n">
        <f aca="false">E200-F200</f>
        <v>71796.2042330873</v>
      </c>
    </row>
    <row r="201" customFormat="false" ht="15" hidden="false" customHeight="true" outlineLevel="0" collapsed="false">
      <c r="A201" s="1" t="str">
        <f aca="false">cleaned_data!A199</f>
        <v>STR-1050</v>
      </c>
      <c r="B201" s="3" t="n">
        <f aca="false">cleaned_data!B199</f>
        <v>45689</v>
      </c>
      <c r="C201" s="1" t="str">
        <f aca="false">cleaned_data!D199</f>
        <v>Residential</v>
      </c>
      <c r="D201" s="1" t="str">
        <f aca="false">cleaned_data!C199</f>
        <v>North</v>
      </c>
      <c r="E201" s="24" t="n">
        <f aca="false">cleaned_data!M199</f>
        <v>574066.61</v>
      </c>
      <c r="F201" s="24" t="n">
        <f aca="false">multiple_regression!B343+multiple_regression!B331*cleaned_data!F199+multiple_regression!B332*cleaned_data!E199+multiple_regression!B333*cleaned_data!H199+multiple_regression!B334*cleaned_data!I199+multiple_regression!B335*cleaned_data!G199+multiple_regression!B336*cleaned_data!K199+multiple_regression!B337*dummy_variables!E202+multiple_regression!B338*dummy_variables!F202+multiple_regression!B339*dummy_variables!G202+multiple_regression!B340*dummy_variables!H202+multiple_regression!B341*dummy_variables!I202+multiple_regression!B342*dummy_variables!J202</f>
        <v>600810.776509738</v>
      </c>
      <c r="G201" s="24" t="n">
        <f aca="false">E201-F201</f>
        <v>-26744.1665097377</v>
      </c>
    </row>
    <row r="202" customFormat="false" ht="15" hidden="false" customHeight="true" outlineLevel="0" collapsed="false">
      <c r="A202" s="1" t="str">
        <f aca="false">cleaned_data!A200</f>
        <v>STR-1050</v>
      </c>
      <c r="B202" s="3" t="n">
        <f aca="false">cleaned_data!B200</f>
        <v>45717</v>
      </c>
      <c r="C202" s="1" t="str">
        <f aca="false">cleaned_data!D200</f>
        <v>Residential</v>
      </c>
      <c r="D202" s="1" t="str">
        <f aca="false">cleaned_data!C200</f>
        <v>North</v>
      </c>
      <c r="E202" s="24" t="n">
        <f aca="false">cleaned_data!M200</f>
        <v>578949.84</v>
      </c>
      <c r="F202" s="24" t="n">
        <f aca="false">multiple_regression!B343+multiple_regression!B331*cleaned_data!F200+multiple_regression!B332*cleaned_data!E200+multiple_regression!B333*cleaned_data!H200+multiple_regression!B334*cleaned_data!I200+multiple_regression!B335*cleaned_data!G200+multiple_regression!B336*cleaned_data!K200+multiple_regression!B337*dummy_variables!E203+multiple_regression!B338*dummy_variables!F203+multiple_regression!B339*dummy_variables!G203+multiple_regression!B340*dummy_variables!H203+multiple_regression!B341*dummy_variables!I203+multiple_regression!B342*dummy_variables!J203</f>
        <v>602807.660864444</v>
      </c>
      <c r="G202" s="24" t="n">
        <f aca="false">E202-F202</f>
        <v>-23857.820864444</v>
      </c>
    </row>
    <row r="203" customFormat="false" ht="15" hidden="false" customHeight="true" outlineLevel="0" collapsed="false">
      <c r="A203" s="1" t="str">
        <f aca="false">cleaned_data!A201</f>
        <v>STR-1050</v>
      </c>
      <c r="B203" s="3" t="n">
        <f aca="false">cleaned_data!B201</f>
        <v>45748</v>
      </c>
      <c r="C203" s="1" t="str">
        <f aca="false">cleaned_data!D201</f>
        <v>Residential</v>
      </c>
      <c r="D203" s="1" t="str">
        <f aca="false">cleaned_data!C201</f>
        <v>North</v>
      </c>
      <c r="E203" s="24" t="n">
        <f aca="false">cleaned_data!M201</f>
        <v>735786.64</v>
      </c>
      <c r="F203" s="24" t="n">
        <f aca="false">multiple_regression!B343+multiple_regression!B331*cleaned_data!F201+multiple_regression!B332*cleaned_data!E201+multiple_regression!B333*cleaned_data!H201+multiple_regression!B334*cleaned_data!I201+multiple_regression!B335*cleaned_data!G201+multiple_regression!B336*cleaned_data!K201+multiple_regression!B337*dummy_variables!E204+multiple_regression!B338*dummy_variables!F204+multiple_regression!B339*dummy_variables!G204+multiple_regression!B340*dummy_variables!H204+multiple_regression!B341*dummy_variables!I204+multiple_regression!B342*dummy_variables!J204</f>
        <v>642374.370059722</v>
      </c>
      <c r="G203" s="24" t="n">
        <f aca="false">E203-F203</f>
        <v>93412.2699402783</v>
      </c>
    </row>
    <row r="204" customFormat="false" ht="15" hidden="false" customHeight="true" outlineLevel="0" collapsed="false">
      <c r="A204" s="1" t="str">
        <f aca="false">cleaned_data!A202</f>
        <v>STR-1051</v>
      </c>
      <c r="B204" s="3" t="n">
        <f aca="false">cleaned_data!B202</f>
        <v>45658</v>
      </c>
      <c r="C204" s="1" t="str">
        <f aca="false">cleaned_data!D202</f>
        <v>Airport</v>
      </c>
      <c r="D204" s="1" t="str">
        <f aca="false">cleaned_data!C202</f>
        <v>East</v>
      </c>
      <c r="E204" s="24" t="n">
        <f aca="false">cleaned_data!M202</f>
        <v>598904.9</v>
      </c>
      <c r="F204" s="24" t="n">
        <f aca="false">multiple_regression!B343+multiple_regression!B331*cleaned_data!F202+multiple_regression!B332*cleaned_data!E202+multiple_regression!B333*cleaned_data!H202+multiple_regression!B334*cleaned_data!I202+multiple_regression!B335*cleaned_data!G202+multiple_regression!B336*cleaned_data!K202+multiple_regression!B337*dummy_variables!E205+multiple_regression!B338*dummy_variables!F205+multiple_regression!B339*dummy_variables!G205+multiple_regression!B340*dummy_variables!H205+multiple_regression!B341*dummy_variables!I205+multiple_regression!B342*dummy_variables!J205</f>
        <v>625933.130023044</v>
      </c>
      <c r="G204" s="24" t="n">
        <f aca="false">E204-F204</f>
        <v>-27028.2300230443</v>
      </c>
    </row>
    <row r="205" customFormat="false" ht="15" hidden="false" customHeight="true" outlineLevel="0" collapsed="false">
      <c r="A205" s="1" t="str">
        <f aca="false">cleaned_data!A203</f>
        <v>STR-1051</v>
      </c>
      <c r="B205" s="3" t="n">
        <f aca="false">cleaned_data!B203</f>
        <v>45689</v>
      </c>
      <c r="C205" s="1" t="str">
        <f aca="false">cleaned_data!D203</f>
        <v>Airport</v>
      </c>
      <c r="D205" s="1" t="str">
        <f aca="false">cleaned_data!C203</f>
        <v>East</v>
      </c>
      <c r="E205" s="24" t="n">
        <f aca="false">cleaned_data!M203</f>
        <v>787715.51</v>
      </c>
      <c r="F205" s="24" t="n">
        <f aca="false">multiple_regression!B343+multiple_regression!B331*cleaned_data!F203+multiple_regression!B332*cleaned_data!E203+multiple_regression!B333*cleaned_data!H203+multiple_regression!B334*cleaned_data!I203+multiple_regression!B335*cleaned_data!G203+multiple_regression!B336*cleaned_data!K203+multiple_regression!B337*dummy_variables!E206+multiple_regression!B338*dummy_variables!F206+multiple_regression!B339*dummy_variables!G206+multiple_regression!B340*dummy_variables!H206+multiple_regression!B341*dummy_variables!I206+multiple_regression!B342*dummy_variables!J206</f>
        <v>684084.667523459</v>
      </c>
      <c r="G205" s="24" t="n">
        <f aca="false">E205-F205</f>
        <v>103630.842476541</v>
      </c>
    </row>
    <row r="206" customFormat="false" ht="15" hidden="false" customHeight="true" outlineLevel="0" collapsed="false">
      <c r="A206" s="1" t="str">
        <f aca="false">cleaned_data!A204</f>
        <v>STR-1051</v>
      </c>
      <c r="B206" s="3" t="n">
        <f aca="false">cleaned_data!B204</f>
        <v>45717</v>
      </c>
      <c r="C206" s="1" t="str">
        <f aca="false">cleaned_data!D204</f>
        <v>Airport</v>
      </c>
      <c r="D206" s="1" t="str">
        <f aca="false">cleaned_data!C204</f>
        <v>East</v>
      </c>
      <c r="E206" s="24" t="n">
        <f aca="false">cleaned_data!M204</f>
        <v>607084.92</v>
      </c>
      <c r="F206" s="24" t="n">
        <f aca="false">multiple_regression!B343+multiple_regression!B331*cleaned_data!F204+multiple_regression!B332*cleaned_data!E204+multiple_regression!B333*cleaned_data!H204+multiple_regression!B334*cleaned_data!I204+multiple_regression!B335*cleaned_data!G204+multiple_regression!B336*cleaned_data!K204+multiple_regression!B337*dummy_variables!E207+multiple_regression!B338*dummy_variables!F207+multiple_regression!B339*dummy_variables!G207+multiple_regression!B340*dummy_variables!H207+multiple_regression!B341*dummy_variables!I207+multiple_regression!B342*dummy_variables!J207</f>
        <v>664403.375558574</v>
      </c>
      <c r="G206" s="24" t="n">
        <f aca="false">E206-F206</f>
        <v>-57318.4555585735</v>
      </c>
    </row>
    <row r="207" customFormat="false" ht="15" hidden="false" customHeight="true" outlineLevel="0" collapsed="false">
      <c r="A207" s="1" t="str">
        <f aca="false">cleaned_data!A205</f>
        <v>STR-1051</v>
      </c>
      <c r="B207" s="3" t="n">
        <f aca="false">cleaned_data!B205</f>
        <v>45748</v>
      </c>
      <c r="C207" s="1" t="str">
        <f aca="false">cleaned_data!D205</f>
        <v>Airport</v>
      </c>
      <c r="D207" s="1" t="str">
        <f aca="false">cleaned_data!C205</f>
        <v>East</v>
      </c>
      <c r="E207" s="24" t="n">
        <f aca="false">cleaned_data!M205</f>
        <v>650795.49</v>
      </c>
      <c r="F207" s="24" t="n">
        <f aca="false">multiple_regression!B343+multiple_regression!B331*cleaned_data!F205+multiple_regression!B332*cleaned_data!E205+multiple_regression!B333*cleaned_data!H205+multiple_regression!B334*cleaned_data!I205+multiple_regression!B335*cleaned_data!G205+multiple_regression!B336*cleaned_data!K205+multiple_regression!B337*dummy_variables!E208+multiple_regression!B338*dummy_variables!F208+multiple_regression!B339*dummy_variables!G208+multiple_regression!B340*dummy_variables!H208+multiple_regression!B341*dummy_variables!I208+multiple_regression!B342*dummy_variables!J208</f>
        <v>679197.523886857</v>
      </c>
      <c r="G207" s="24" t="n">
        <f aca="false">E207-F207</f>
        <v>-28402.0338868565</v>
      </c>
    </row>
    <row r="208" customFormat="false" ht="15" hidden="false" customHeight="true" outlineLevel="0" collapsed="false">
      <c r="A208" s="1" t="str">
        <f aca="false">cleaned_data!A206</f>
        <v>STR-1052</v>
      </c>
      <c r="B208" s="3" t="n">
        <f aca="false">cleaned_data!B206</f>
        <v>45658</v>
      </c>
      <c r="C208" s="1" t="str">
        <f aca="false">cleaned_data!D206</f>
        <v>Mall</v>
      </c>
      <c r="D208" s="1" t="str">
        <f aca="false">cleaned_data!C206</f>
        <v>East</v>
      </c>
      <c r="E208" s="24" t="n">
        <f aca="false">cleaned_data!M206</f>
        <v>825060.52</v>
      </c>
      <c r="F208" s="24" t="n">
        <f aca="false">multiple_regression!B343+multiple_regression!B331*cleaned_data!F206+multiple_regression!B332*cleaned_data!E206+multiple_regression!B333*cleaned_data!H206+multiple_regression!B334*cleaned_data!I206+multiple_regression!B335*cleaned_data!G206+multiple_regression!B336*cleaned_data!K206+multiple_regression!B337*dummy_variables!E209+multiple_regression!B338*dummy_variables!F209+multiple_regression!B339*dummy_variables!G209+multiple_regression!B340*dummy_variables!H209+multiple_regression!B341*dummy_variables!I209+multiple_regression!B342*dummy_variables!J209</f>
        <v>846170.314139033</v>
      </c>
      <c r="G208" s="24" t="n">
        <f aca="false">E208-F208</f>
        <v>-21109.7941390332</v>
      </c>
    </row>
    <row r="209" customFormat="false" ht="15" hidden="false" customHeight="true" outlineLevel="0" collapsed="false">
      <c r="A209" s="1" t="str">
        <f aca="false">cleaned_data!A207</f>
        <v>STR-1052</v>
      </c>
      <c r="B209" s="3" t="n">
        <f aca="false">cleaned_data!B207</f>
        <v>45689</v>
      </c>
      <c r="C209" s="1" t="str">
        <f aca="false">cleaned_data!D207</f>
        <v>Mall</v>
      </c>
      <c r="D209" s="1" t="str">
        <f aca="false">cleaned_data!C207</f>
        <v>East</v>
      </c>
      <c r="E209" s="24" t="n">
        <f aca="false">cleaned_data!M207</f>
        <v>795464.47</v>
      </c>
      <c r="F209" s="24" t="n">
        <f aca="false">multiple_regression!B343+multiple_regression!B331*cleaned_data!F207+multiple_regression!B332*cleaned_data!E207+multiple_regression!B333*cleaned_data!H207+multiple_regression!B334*cleaned_data!I207+multiple_regression!B335*cleaned_data!G207+multiple_regression!B336*cleaned_data!K207+multiple_regression!B337*dummy_variables!E210+multiple_regression!B338*dummy_variables!F210+multiple_regression!B339*dummy_variables!G210+multiple_regression!B340*dummy_variables!H210+multiple_regression!B341*dummy_variables!I210+multiple_regression!B342*dummy_variables!J210</f>
        <v>740144.882387025</v>
      </c>
      <c r="G209" s="24" t="n">
        <f aca="false">E209-F209</f>
        <v>55319.5876129748</v>
      </c>
    </row>
    <row r="210" customFormat="false" ht="15" hidden="false" customHeight="true" outlineLevel="0" collapsed="false">
      <c r="A210" s="1" t="str">
        <f aca="false">cleaned_data!A208</f>
        <v>STR-1052</v>
      </c>
      <c r="B210" s="3" t="n">
        <f aca="false">cleaned_data!B208</f>
        <v>45717</v>
      </c>
      <c r="C210" s="1" t="str">
        <f aca="false">cleaned_data!D208</f>
        <v>Mall</v>
      </c>
      <c r="D210" s="1" t="str">
        <f aca="false">cleaned_data!C208</f>
        <v>East</v>
      </c>
      <c r="E210" s="24" t="n">
        <f aca="false">cleaned_data!M208</f>
        <v>671868.59</v>
      </c>
      <c r="F210" s="24" t="n">
        <f aca="false">multiple_regression!B343+multiple_regression!B331*cleaned_data!F208+multiple_regression!B332*cleaned_data!E208+multiple_regression!B333*cleaned_data!H208+multiple_regression!B334*cleaned_data!I208+multiple_regression!B335*cleaned_data!G208+multiple_regression!B336*cleaned_data!K208+multiple_regression!B337*dummy_variables!E211+multiple_regression!B338*dummy_variables!F211+multiple_regression!B339*dummy_variables!G211+multiple_regression!B340*dummy_variables!H211+multiple_regression!B341*dummy_variables!I211+multiple_regression!B342*dummy_variables!J211</f>
        <v>725569.509649015</v>
      </c>
      <c r="G210" s="24" t="n">
        <f aca="false">E210-F210</f>
        <v>-53700.9196490147</v>
      </c>
    </row>
    <row r="211" customFormat="false" ht="15" hidden="false" customHeight="true" outlineLevel="0" collapsed="false">
      <c r="A211" s="1" t="str">
        <f aca="false">cleaned_data!A209</f>
        <v>STR-1052</v>
      </c>
      <c r="B211" s="3" t="n">
        <f aca="false">cleaned_data!B209</f>
        <v>45748</v>
      </c>
      <c r="C211" s="1" t="str">
        <f aca="false">cleaned_data!D209</f>
        <v>Mall</v>
      </c>
      <c r="D211" s="1" t="str">
        <f aca="false">cleaned_data!C209</f>
        <v>East</v>
      </c>
      <c r="E211" s="24" t="n">
        <f aca="false">cleaned_data!M209</f>
        <v>675917.63</v>
      </c>
      <c r="F211" s="24" t="n">
        <f aca="false">multiple_regression!B343+multiple_regression!B331*cleaned_data!F209+multiple_regression!B332*cleaned_data!E209+multiple_regression!B333*cleaned_data!H209+multiple_regression!B334*cleaned_data!I209+multiple_regression!B335*cleaned_data!G209+multiple_regression!B336*cleaned_data!K209+multiple_regression!B337*dummy_variables!E212+multiple_regression!B338*dummy_variables!F212+multiple_regression!B339*dummy_variables!G212+multiple_regression!B340*dummy_variables!H212+multiple_regression!B341*dummy_variables!I212+multiple_regression!B342*dummy_variables!J212</f>
        <v>749573.857558905</v>
      </c>
      <c r="G211" s="24" t="n">
        <f aca="false">E211-F211</f>
        <v>-73656.2275589049</v>
      </c>
    </row>
    <row r="212" customFormat="false" ht="15" hidden="false" customHeight="true" outlineLevel="0" collapsed="false">
      <c r="A212" s="1" t="str">
        <f aca="false">cleaned_data!A210</f>
        <v>STR-1053</v>
      </c>
      <c r="B212" s="3" t="n">
        <f aca="false">cleaned_data!B210</f>
        <v>45658</v>
      </c>
      <c r="C212" s="1" t="str">
        <f aca="false">cleaned_data!D210</f>
        <v>High Street</v>
      </c>
      <c r="D212" s="1" t="str">
        <f aca="false">cleaned_data!C210</f>
        <v>East</v>
      </c>
      <c r="E212" s="24" t="n">
        <f aca="false">cleaned_data!M210</f>
        <v>810446.53</v>
      </c>
      <c r="F212" s="24" t="n">
        <f aca="false">multiple_regression!B343+multiple_regression!B331*cleaned_data!F210+multiple_regression!B332*cleaned_data!E210+multiple_regression!B333*cleaned_data!H210+multiple_regression!B334*cleaned_data!I210+multiple_regression!B335*cleaned_data!G210+multiple_regression!B336*cleaned_data!K210+multiple_regression!B337*dummy_variables!E213+multiple_regression!B338*dummy_variables!F213+multiple_regression!B339*dummy_variables!G213+multiple_regression!B340*dummy_variables!H213+multiple_regression!B341*dummy_variables!I213+multiple_regression!B342*dummy_variables!J213</f>
        <v>812105.02728856</v>
      </c>
      <c r="G212" s="24" t="n">
        <f aca="false">E212-F212</f>
        <v>-1658.49728856026</v>
      </c>
    </row>
    <row r="213" customFormat="false" ht="15" hidden="false" customHeight="true" outlineLevel="0" collapsed="false">
      <c r="A213" s="1" t="str">
        <f aca="false">cleaned_data!A211</f>
        <v>STR-1053</v>
      </c>
      <c r="B213" s="3" t="n">
        <f aca="false">cleaned_data!B211</f>
        <v>45689</v>
      </c>
      <c r="C213" s="1" t="str">
        <f aca="false">cleaned_data!D211</f>
        <v>High Street</v>
      </c>
      <c r="D213" s="1" t="str">
        <f aca="false">cleaned_data!C211</f>
        <v>East</v>
      </c>
      <c r="E213" s="24" t="n">
        <f aca="false">cleaned_data!M211</f>
        <v>691288.19</v>
      </c>
      <c r="F213" s="24" t="n">
        <f aca="false">multiple_regression!B343+multiple_regression!B331*cleaned_data!F211+multiple_regression!B332*cleaned_data!E211+multiple_regression!B333*cleaned_data!H211+multiple_regression!B334*cleaned_data!I211+multiple_regression!B335*cleaned_data!G211+multiple_regression!B336*cleaned_data!K211+multiple_regression!B337*dummy_variables!E214+multiple_regression!B338*dummy_variables!F214+multiple_regression!B339*dummy_variables!G214+multiple_regression!B340*dummy_variables!H214+multiple_regression!B341*dummy_variables!I214+multiple_regression!B342*dummy_variables!J214</f>
        <v>751496.868018698</v>
      </c>
      <c r="G213" s="24" t="n">
        <f aca="false">E213-F213</f>
        <v>-60208.6780186977</v>
      </c>
    </row>
    <row r="214" customFormat="false" ht="15" hidden="false" customHeight="true" outlineLevel="0" collapsed="false">
      <c r="A214" s="1" t="str">
        <f aca="false">cleaned_data!A212</f>
        <v>STR-1053</v>
      </c>
      <c r="B214" s="3" t="n">
        <f aca="false">cleaned_data!B212</f>
        <v>45717</v>
      </c>
      <c r="C214" s="1" t="str">
        <f aca="false">cleaned_data!D212</f>
        <v>High Street</v>
      </c>
      <c r="D214" s="1" t="str">
        <f aca="false">cleaned_data!C212</f>
        <v>East</v>
      </c>
      <c r="E214" s="24" t="n">
        <f aca="false">cleaned_data!M212</f>
        <v>946833.54</v>
      </c>
      <c r="F214" s="24" t="n">
        <f aca="false">multiple_regression!B343+multiple_regression!B331*cleaned_data!F212+multiple_regression!B332*cleaned_data!E212+multiple_regression!B333*cleaned_data!H212+multiple_regression!B334*cleaned_data!I212+multiple_regression!B335*cleaned_data!G212+multiple_regression!B336*cleaned_data!K212+multiple_regression!B337*dummy_variables!E215+multiple_regression!B338*dummy_variables!F215+multiple_regression!B339*dummy_variables!G215+multiple_regression!B340*dummy_variables!H215+multiple_regression!B341*dummy_variables!I215+multiple_regression!B342*dummy_variables!J215</f>
        <v>979158.691297026</v>
      </c>
      <c r="G214" s="24" t="n">
        <f aca="false">E214-F214</f>
        <v>-32325.1512970255</v>
      </c>
    </row>
    <row r="215" customFormat="false" ht="15" hidden="false" customHeight="true" outlineLevel="0" collapsed="false">
      <c r="A215" s="1" t="str">
        <f aca="false">cleaned_data!A213</f>
        <v>STR-1053</v>
      </c>
      <c r="B215" s="3" t="n">
        <f aca="false">cleaned_data!B213</f>
        <v>45748</v>
      </c>
      <c r="C215" s="1" t="str">
        <f aca="false">cleaned_data!D213</f>
        <v>High Street</v>
      </c>
      <c r="D215" s="1" t="str">
        <f aca="false">cleaned_data!C213</f>
        <v>East</v>
      </c>
      <c r="E215" s="24" t="n">
        <f aca="false">cleaned_data!M213</f>
        <v>761963.23</v>
      </c>
      <c r="F215" s="24" t="n">
        <f aca="false">multiple_regression!B343+multiple_regression!B331*cleaned_data!F213+multiple_regression!B332*cleaned_data!E213+multiple_regression!B333*cleaned_data!H213+multiple_regression!B334*cleaned_data!I213+multiple_regression!B335*cleaned_data!G213+multiple_regression!B336*cleaned_data!K213+multiple_regression!B337*dummy_variables!E216+multiple_regression!B338*dummy_variables!F216+multiple_regression!B339*dummy_variables!G216+multiple_regression!B340*dummy_variables!H216+multiple_regression!B341*dummy_variables!I216+multiple_regression!B342*dummy_variables!J216</f>
        <v>760394.479995632</v>
      </c>
      <c r="G215" s="24" t="n">
        <f aca="false">E215-F215</f>
        <v>1568.75000436755</v>
      </c>
    </row>
    <row r="216" customFormat="false" ht="15" hidden="false" customHeight="true" outlineLevel="0" collapsed="false">
      <c r="A216" s="1" t="str">
        <f aca="false">cleaned_data!A214</f>
        <v>STR-1054</v>
      </c>
      <c r="B216" s="3" t="n">
        <f aca="false">cleaned_data!B214</f>
        <v>45658</v>
      </c>
      <c r="C216" s="1" t="str">
        <f aca="false">cleaned_data!D214</f>
        <v>Residential</v>
      </c>
      <c r="D216" s="1" t="str">
        <f aca="false">cleaned_data!C214</f>
        <v>West</v>
      </c>
      <c r="E216" s="24" t="n">
        <f aca="false">cleaned_data!M214</f>
        <v>812152.6</v>
      </c>
      <c r="F216" s="24" t="n">
        <f aca="false">multiple_regression!B343+multiple_regression!B331*cleaned_data!F214+multiple_regression!B332*cleaned_data!E214+multiple_regression!B333*cleaned_data!H214+multiple_regression!B334*cleaned_data!I214+multiple_regression!B335*cleaned_data!G214+multiple_regression!B336*cleaned_data!K214+multiple_regression!B337*dummy_variables!E217+multiple_regression!B338*dummy_variables!F217+multiple_regression!B339*dummy_variables!G217+multiple_regression!B340*dummy_variables!H217+multiple_regression!B341*dummy_variables!I217+multiple_regression!B342*dummy_variables!J217</f>
        <v>777527.843414623</v>
      </c>
      <c r="G216" s="24" t="n">
        <f aca="false">E216-F216</f>
        <v>34624.7565853773</v>
      </c>
    </row>
    <row r="217" customFormat="false" ht="15" hidden="false" customHeight="true" outlineLevel="0" collapsed="false">
      <c r="A217" s="1" t="str">
        <f aca="false">cleaned_data!A215</f>
        <v>STR-1054</v>
      </c>
      <c r="B217" s="3" t="n">
        <f aca="false">cleaned_data!B215</f>
        <v>45689</v>
      </c>
      <c r="C217" s="1" t="str">
        <f aca="false">cleaned_data!D215</f>
        <v>Residential</v>
      </c>
      <c r="D217" s="1" t="str">
        <f aca="false">cleaned_data!C215</f>
        <v>West</v>
      </c>
      <c r="E217" s="24" t="n">
        <f aca="false">cleaned_data!M215</f>
        <v>804975.5</v>
      </c>
      <c r="F217" s="24" t="n">
        <f aca="false">multiple_regression!B343+multiple_regression!B331*cleaned_data!F215+multiple_regression!B332*cleaned_data!E215+multiple_regression!B333*cleaned_data!H215+multiple_regression!B334*cleaned_data!I215+multiple_regression!B335*cleaned_data!G215+multiple_regression!B336*cleaned_data!K215+multiple_regression!B337*dummy_variables!E218+multiple_regression!B338*dummy_variables!F218+multiple_regression!B339*dummy_variables!G218+multiple_regression!B340*dummy_variables!H218+multiple_regression!B341*dummy_variables!I218+multiple_regression!B342*dummy_variables!J218</f>
        <v>756379.943973667</v>
      </c>
      <c r="G217" s="24" t="n">
        <f aca="false">E217-F217</f>
        <v>48595.556026333</v>
      </c>
    </row>
    <row r="218" customFormat="false" ht="15" hidden="false" customHeight="true" outlineLevel="0" collapsed="false">
      <c r="A218" s="1" t="str">
        <f aca="false">cleaned_data!A216</f>
        <v>STR-1054</v>
      </c>
      <c r="B218" s="3" t="n">
        <f aca="false">cleaned_data!B216</f>
        <v>45717</v>
      </c>
      <c r="C218" s="1" t="str">
        <f aca="false">cleaned_data!D216</f>
        <v>Residential</v>
      </c>
      <c r="D218" s="1" t="str">
        <f aca="false">cleaned_data!C216</f>
        <v>West</v>
      </c>
      <c r="E218" s="24" t="n">
        <f aca="false">cleaned_data!M216</f>
        <v>752321.72</v>
      </c>
      <c r="F218" s="24" t="n">
        <f aca="false">multiple_regression!B343+multiple_regression!B331*cleaned_data!F216+multiple_regression!B332*cleaned_data!E216+multiple_regression!B333*cleaned_data!H216+multiple_regression!B334*cleaned_data!I216+multiple_regression!B335*cleaned_data!G216+multiple_regression!B336*cleaned_data!K216+multiple_regression!B337*dummy_variables!E219+multiple_regression!B338*dummy_variables!F219+multiple_regression!B339*dummy_variables!G219+multiple_regression!B340*dummy_variables!H219+multiple_regression!B341*dummy_variables!I219+multiple_regression!B342*dummy_variables!J219</f>
        <v>753715.502056889</v>
      </c>
      <c r="G218" s="24" t="n">
        <f aca="false">E218-F218</f>
        <v>-1393.78205688915</v>
      </c>
    </row>
    <row r="219" customFormat="false" ht="15" hidden="false" customHeight="true" outlineLevel="0" collapsed="false">
      <c r="A219" s="1" t="str">
        <f aca="false">cleaned_data!A217</f>
        <v>STR-1054</v>
      </c>
      <c r="B219" s="3" t="n">
        <f aca="false">cleaned_data!B217</f>
        <v>45748</v>
      </c>
      <c r="C219" s="1" t="str">
        <f aca="false">cleaned_data!D217</f>
        <v>Residential</v>
      </c>
      <c r="D219" s="1" t="str">
        <f aca="false">cleaned_data!C217</f>
        <v>West</v>
      </c>
      <c r="E219" s="24" t="n">
        <f aca="false">cleaned_data!M217</f>
        <v>836908.24</v>
      </c>
      <c r="F219" s="24" t="n">
        <f aca="false">multiple_regression!B343+multiple_regression!B331*cleaned_data!F217+multiple_regression!B332*cleaned_data!E217+multiple_regression!B333*cleaned_data!H217+multiple_regression!B334*cleaned_data!I217+multiple_regression!B335*cleaned_data!G217+multiple_regression!B336*cleaned_data!K217+multiple_regression!B337*dummy_variables!E220+multiple_regression!B338*dummy_variables!F220+multiple_regression!B339*dummy_variables!G220+multiple_regression!B340*dummy_variables!H220+multiple_regression!B341*dummy_variables!I220+multiple_regression!B342*dummy_variables!J220</f>
        <v>814876.457866317</v>
      </c>
      <c r="G219" s="24" t="n">
        <f aca="false">E219-F219</f>
        <v>22031.7821336832</v>
      </c>
    </row>
    <row r="220" customFormat="false" ht="15" hidden="false" customHeight="true" outlineLevel="0" collapsed="false">
      <c r="A220" s="1" t="str">
        <f aca="false">cleaned_data!A218</f>
        <v>STR-1055</v>
      </c>
      <c r="B220" s="3" t="n">
        <f aca="false">cleaned_data!B218</f>
        <v>45658</v>
      </c>
      <c r="C220" s="1" t="str">
        <f aca="false">cleaned_data!D218</f>
        <v>Airport</v>
      </c>
      <c r="D220" s="1" t="str">
        <f aca="false">cleaned_data!C218</f>
        <v>North</v>
      </c>
      <c r="E220" s="24" t="n">
        <f aca="false">cleaned_data!M218</f>
        <v>674289.1</v>
      </c>
      <c r="F220" s="24" t="n">
        <f aca="false">multiple_regression!B343+multiple_regression!B331*cleaned_data!F218+multiple_regression!B332*cleaned_data!E218+multiple_regression!B333*cleaned_data!H218+multiple_regression!B334*cleaned_data!I218+multiple_regression!B335*cleaned_data!G218+multiple_regression!B336*cleaned_data!K218+multiple_regression!B337*dummy_variables!E221+multiple_regression!B338*dummy_variables!F221+multiple_regression!B339*dummy_variables!G221+multiple_regression!B340*dummy_variables!H221+multiple_regression!B341*dummy_variables!I221+multiple_regression!B342*dummy_variables!J221</f>
        <v>648768.556407078</v>
      </c>
      <c r="G220" s="24" t="n">
        <f aca="false">E220-F220</f>
        <v>25520.543592922</v>
      </c>
    </row>
    <row r="221" customFormat="false" ht="15" hidden="false" customHeight="true" outlineLevel="0" collapsed="false">
      <c r="A221" s="1" t="str">
        <f aca="false">cleaned_data!A219</f>
        <v>STR-1055</v>
      </c>
      <c r="B221" s="3" t="n">
        <f aca="false">cleaned_data!B219</f>
        <v>45689</v>
      </c>
      <c r="C221" s="1" t="str">
        <f aca="false">cleaned_data!D219</f>
        <v>Airport</v>
      </c>
      <c r="D221" s="1" t="str">
        <f aca="false">cleaned_data!C219</f>
        <v>North</v>
      </c>
      <c r="E221" s="24" t="n">
        <f aca="false">cleaned_data!M219</f>
        <v>622892.42</v>
      </c>
      <c r="F221" s="24" t="n">
        <f aca="false">multiple_regression!B343+multiple_regression!B331*cleaned_data!F219+multiple_regression!B332*cleaned_data!E219+multiple_regression!B333*cleaned_data!H219+multiple_regression!B334*cleaned_data!I219+multiple_regression!B335*cleaned_data!G219+multiple_regression!B336*cleaned_data!K219+multiple_regression!B337*dummy_variables!E222+multiple_regression!B338*dummy_variables!F222+multiple_regression!B339*dummy_variables!G222+multiple_regression!B340*dummy_variables!H222+multiple_regression!B341*dummy_variables!I222+multiple_regression!B342*dummy_variables!J222</f>
        <v>641225.141099576</v>
      </c>
      <c r="G221" s="24" t="n">
        <f aca="false">E221-F221</f>
        <v>-18332.7210995762</v>
      </c>
    </row>
    <row r="222" customFormat="false" ht="15" hidden="false" customHeight="true" outlineLevel="0" collapsed="false">
      <c r="A222" s="1" t="str">
        <f aca="false">cleaned_data!A220</f>
        <v>STR-1055</v>
      </c>
      <c r="B222" s="3" t="n">
        <f aca="false">cleaned_data!B220</f>
        <v>45717</v>
      </c>
      <c r="C222" s="1" t="str">
        <f aca="false">cleaned_data!D220</f>
        <v>Airport</v>
      </c>
      <c r="D222" s="1" t="str">
        <f aca="false">cleaned_data!C220</f>
        <v>North</v>
      </c>
      <c r="E222" s="24" t="n">
        <f aca="false">cleaned_data!M220</f>
        <v>673348.56</v>
      </c>
      <c r="F222" s="24" t="n">
        <f aca="false">multiple_regression!B343+multiple_regression!B331*cleaned_data!F220+multiple_regression!B332*cleaned_data!E220+multiple_regression!B333*cleaned_data!H220+multiple_regression!B334*cleaned_data!I220+multiple_regression!B335*cleaned_data!G220+multiple_regression!B336*cleaned_data!K220+multiple_regression!B337*dummy_variables!E223+multiple_regression!B338*dummy_variables!F223+multiple_regression!B339*dummy_variables!G223+multiple_regression!B340*dummy_variables!H223+multiple_regression!B341*dummy_variables!I223+multiple_regression!B342*dummy_variables!J223</f>
        <v>635395.655006622</v>
      </c>
      <c r="G222" s="24" t="n">
        <f aca="false">E222-F222</f>
        <v>37952.9049933782</v>
      </c>
    </row>
    <row r="223" customFormat="false" ht="15" hidden="false" customHeight="true" outlineLevel="0" collapsed="false">
      <c r="A223" s="1" t="str">
        <f aca="false">cleaned_data!A221</f>
        <v>STR-1055</v>
      </c>
      <c r="B223" s="3" t="n">
        <f aca="false">cleaned_data!B221</f>
        <v>45748</v>
      </c>
      <c r="C223" s="1" t="str">
        <f aca="false">cleaned_data!D221</f>
        <v>Airport</v>
      </c>
      <c r="D223" s="1" t="str">
        <f aca="false">cleaned_data!C221</f>
        <v>North</v>
      </c>
      <c r="E223" s="24" t="n">
        <f aca="false">cleaned_data!M221</f>
        <v>606278.3</v>
      </c>
      <c r="F223" s="24" t="n">
        <f aca="false">multiple_regression!B343+multiple_regression!B331*cleaned_data!F221+multiple_regression!B332*cleaned_data!E221+multiple_regression!B333*cleaned_data!H221+multiple_regression!B334*cleaned_data!I221+multiple_regression!B335*cleaned_data!G221+multiple_regression!B336*cleaned_data!K221+multiple_regression!B337*dummy_variables!E224+multiple_regression!B338*dummy_variables!F224+multiple_regression!B339*dummy_variables!G224+multiple_regression!B340*dummy_variables!H224+multiple_regression!B341*dummy_variables!I224+multiple_regression!B342*dummy_variables!J224</f>
        <v>603896.188100407</v>
      </c>
      <c r="G223" s="24" t="n">
        <f aca="false">E223-F223</f>
        <v>2382.11189959326</v>
      </c>
    </row>
    <row r="224" customFormat="false" ht="15" hidden="false" customHeight="true" outlineLevel="0" collapsed="false">
      <c r="A224" s="1" t="str">
        <f aca="false">cleaned_data!A222</f>
        <v>STR-1056</v>
      </c>
      <c r="B224" s="3" t="n">
        <f aca="false">cleaned_data!B222</f>
        <v>45658</v>
      </c>
      <c r="C224" s="1" t="str">
        <f aca="false">cleaned_data!D222</f>
        <v>High Street</v>
      </c>
      <c r="D224" s="1" t="str">
        <f aca="false">cleaned_data!C222</f>
        <v>East</v>
      </c>
      <c r="E224" s="24" t="n">
        <f aca="false">cleaned_data!M222</f>
        <v>712219.81</v>
      </c>
      <c r="F224" s="24" t="n">
        <f aca="false">multiple_regression!B343+multiple_regression!B331*cleaned_data!F222+multiple_regression!B332*cleaned_data!E222+multiple_regression!B333*cleaned_data!H222+multiple_regression!B334*cleaned_data!I222+multiple_regression!B335*cleaned_data!G222+multiple_regression!B336*cleaned_data!K222+multiple_regression!B337*dummy_variables!E225+multiple_regression!B338*dummy_variables!F225+multiple_regression!B339*dummy_variables!G225+multiple_regression!B340*dummy_variables!H225+multiple_regression!B341*dummy_variables!I225+multiple_regression!B342*dummy_variables!J225</f>
        <v>711448.029395386</v>
      </c>
      <c r="G224" s="24" t="n">
        <f aca="false">E224-F224</f>
        <v>771.780604614527</v>
      </c>
    </row>
    <row r="225" customFormat="false" ht="15" hidden="false" customHeight="true" outlineLevel="0" collapsed="false">
      <c r="A225" s="1" t="str">
        <f aca="false">cleaned_data!A223</f>
        <v>STR-1056</v>
      </c>
      <c r="B225" s="3" t="n">
        <f aca="false">cleaned_data!B223</f>
        <v>45689</v>
      </c>
      <c r="C225" s="1" t="str">
        <f aca="false">cleaned_data!D223</f>
        <v>High Street</v>
      </c>
      <c r="D225" s="1" t="str">
        <f aca="false">cleaned_data!C223</f>
        <v>East</v>
      </c>
      <c r="E225" s="24" t="n">
        <f aca="false">cleaned_data!M223</f>
        <v>672670.54</v>
      </c>
      <c r="F225" s="24" t="n">
        <f aca="false">multiple_regression!B343+multiple_regression!B331*cleaned_data!F223+multiple_regression!B332*cleaned_data!E223+multiple_regression!B333*cleaned_data!H223+multiple_regression!B334*cleaned_data!I223+multiple_regression!B335*cleaned_data!G223+multiple_regression!B336*cleaned_data!K223+multiple_regression!B337*dummy_variables!E226+multiple_regression!B338*dummy_variables!F226+multiple_regression!B339*dummy_variables!G226+multiple_regression!B340*dummy_variables!H226+multiple_regression!B341*dummy_variables!I226+multiple_regression!B342*dummy_variables!J226</f>
        <v>669901.072489807</v>
      </c>
      <c r="G225" s="24" t="n">
        <f aca="false">E225-F225</f>
        <v>2769.46751019277</v>
      </c>
    </row>
    <row r="226" customFormat="false" ht="15" hidden="false" customHeight="true" outlineLevel="0" collapsed="false">
      <c r="A226" s="1" t="str">
        <f aca="false">cleaned_data!A224</f>
        <v>STR-1056</v>
      </c>
      <c r="B226" s="3" t="n">
        <f aca="false">cleaned_data!B224</f>
        <v>45717</v>
      </c>
      <c r="C226" s="1" t="str">
        <f aca="false">cleaned_data!D224</f>
        <v>High Street</v>
      </c>
      <c r="D226" s="1" t="str">
        <f aca="false">cleaned_data!C224</f>
        <v>East</v>
      </c>
      <c r="E226" s="24" t="n">
        <f aca="false">cleaned_data!M224</f>
        <v>732667.92</v>
      </c>
      <c r="F226" s="24" t="n">
        <f aca="false">multiple_regression!B343+multiple_regression!B331*cleaned_data!F224+multiple_regression!B332*cleaned_data!E224+multiple_regression!B333*cleaned_data!H224+multiple_regression!B334*cleaned_data!I224+multiple_regression!B335*cleaned_data!G224+multiple_regression!B336*cleaned_data!K224+multiple_regression!B337*dummy_variables!E227+multiple_regression!B338*dummy_variables!F227+multiple_regression!B339*dummy_variables!G227+multiple_regression!B340*dummy_variables!H227+multiple_regression!B341*dummy_variables!I227+multiple_regression!B342*dummy_variables!J227</f>
        <v>731378.654116481</v>
      </c>
      <c r="G226" s="24" t="n">
        <f aca="false">E226-F226</f>
        <v>1289.2658835192</v>
      </c>
    </row>
    <row r="227" customFormat="false" ht="15" hidden="false" customHeight="true" outlineLevel="0" collapsed="false">
      <c r="A227" s="1" t="str">
        <f aca="false">cleaned_data!A225</f>
        <v>STR-1056</v>
      </c>
      <c r="B227" s="3" t="n">
        <f aca="false">cleaned_data!B225</f>
        <v>45748</v>
      </c>
      <c r="C227" s="1" t="str">
        <f aca="false">cleaned_data!D225</f>
        <v>High Street</v>
      </c>
      <c r="D227" s="1" t="str">
        <f aca="false">cleaned_data!C225</f>
        <v>East</v>
      </c>
      <c r="E227" s="24" t="n">
        <f aca="false">cleaned_data!M225</f>
        <v>723531.4</v>
      </c>
      <c r="F227" s="24" t="n">
        <f aca="false">multiple_regression!B343+multiple_regression!B331*cleaned_data!F225+multiple_regression!B332*cleaned_data!E225+multiple_regression!B333*cleaned_data!H225+multiple_regression!B334*cleaned_data!I225+multiple_regression!B335*cleaned_data!G225+multiple_regression!B336*cleaned_data!K225+multiple_regression!B337*dummy_variables!E228+multiple_regression!B338*dummy_variables!F228+multiple_regression!B339*dummy_variables!G228+multiple_regression!B340*dummy_variables!H228+multiple_regression!B341*dummy_variables!I228+multiple_regression!B342*dummy_variables!J228</f>
        <v>755861.060870803</v>
      </c>
      <c r="G227" s="24" t="n">
        <f aca="false">E227-F227</f>
        <v>-32329.6608708032</v>
      </c>
    </row>
    <row r="228" customFormat="false" ht="15" hidden="false" customHeight="true" outlineLevel="0" collapsed="false">
      <c r="A228" s="1" t="str">
        <f aca="false">cleaned_data!A226</f>
        <v>STR-1057</v>
      </c>
      <c r="B228" s="3" t="n">
        <f aca="false">cleaned_data!B226</f>
        <v>45658</v>
      </c>
      <c r="C228" s="1" t="str">
        <f aca="false">cleaned_data!D226</f>
        <v>Mall</v>
      </c>
      <c r="D228" s="1" t="str">
        <f aca="false">cleaned_data!C226</f>
        <v>East</v>
      </c>
      <c r="E228" s="24" t="n">
        <f aca="false">cleaned_data!M226</f>
        <v>641564.6</v>
      </c>
      <c r="F228" s="24" t="n">
        <f aca="false">multiple_regression!B343+multiple_regression!B331*cleaned_data!F226+multiple_regression!B332*cleaned_data!E226+multiple_regression!B333*cleaned_data!H226+multiple_regression!B334*cleaned_data!I226+multiple_regression!B335*cleaned_data!G226+multiple_regression!B336*cleaned_data!K226+multiple_regression!B337*dummy_variables!E229+multiple_regression!B338*dummy_variables!F229+multiple_regression!B339*dummy_variables!G229+multiple_regression!B340*dummy_variables!H229+multiple_regression!B341*dummy_variables!I229+multiple_regression!B342*dummy_variables!J229</f>
        <v>632352.953028138</v>
      </c>
      <c r="G228" s="24" t="n">
        <f aca="false">E228-F228</f>
        <v>9211.64697186207</v>
      </c>
    </row>
    <row r="229" customFormat="false" ht="15" hidden="false" customHeight="true" outlineLevel="0" collapsed="false">
      <c r="A229" s="1" t="str">
        <f aca="false">cleaned_data!A227</f>
        <v>STR-1057</v>
      </c>
      <c r="B229" s="3" t="n">
        <f aca="false">cleaned_data!B227</f>
        <v>45689</v>
      </c>
      <c r="C229" s="1" t="str">
        <f aca="false">cleaned_data!D227</f>
        <v>Mall</v>
      </c>
      <c r="D229" s="1" t="str">
        <f aca="false">cleaned_data!C227</f>
        <v>East</v>
      </c>
      <c r="E229" s="24" t="n">
        <f aca="false">cleaned_data!M227</f>
        <v>536545.49</v>
      </c>
      <c r="F229" s="24" t="n">
        <f aca="false">multiple_regression!B343+multiple_regression!B331*cleaned_data!F227+multiple_regression!B332*cleaned_data!E227+multiple_regression!B333*cleaned_data!H227+multiple_regression!B334*cleaned_data!I227+multiple_regression!B335*cleaned_data!G227+multiple_regression!B336*cleaned_data!K227+multiple_regression!B337*dummy_variables!E230+multiple_regression!B338*dummy_variables!F230+multiple_regression!B339*dummy_variables!G230+multiple_regression!B340*dummy_variables!H230+multiple_regression!B341*dummy_variables!I230+multiple_regression!B342*dummy_variables!J230</f>
        <v>530880.817955756</v>
      </c>
      <c r="G229" s="24" t="n">
        <f aca="false">E229-F229</f>
        <v>5664.67204424378</v>
      </c>
    </row>
    <row r="230" customFormat="false" ht="15" hidden="false" customHeight="true" outlineLevel="0" collapsed="false">
      <c r="A230" s="1" t="str">
        <f aca="false">cleaned_data!A228</f>
        <v>STR-1057</v>
      </c>
      <c r="B230" s="3" t="n">
        <f aca="false">cleaned_data!B228</f>
        <v>45717</v>
      </c>
      <c r="C230" s="1" t="str">
        <f aca="false">cleaned_data!D228</f>
        <v>Mall</v>
      </c>
      <c r="D230" s="1" t="str">
        <f aca="false">cleaned_data!C228</f>
        <v>East</v>
      </c>
      <c r="E230" s="24" t="n">
        <f aca="false">cleaned_data!M228</f>
        <v>527681.56</v>
      </c>
      <c r="F230" s="24" t="n">
        <f aca="false">multiple_regression!B343+multiple_regression!B331*cleaned_data!F228+multiple_regression!B332*cleaned_data!E228+multiple_regression!B333*cleaned_data!H228+multiple_regression!B334*cleaned_data!I228+multiple_regression!B335*cleaned_data!G228+multiple_regression!B336*cleaned_data!K228+multiple_regression!B337*dummy_variables!E231+multiple_regression!B338*dummy_variables!F231+multiple_regression!B339*dummy_variables!G231+multiple_regression!B340*dummy_variables!H231+multiple_regression!B341*dummy_variables!I231+multiple_regression!B342*dummy_variables!J231</f>
        <v>557542.993695851</v>
      </c>
      <c r="G230" s="24" t="n">
        <f aca="false">E230-F230</f>
        <v>-29861.4336958507</v>
      </c>
    </row>
    <row r="231" customFormat="false" ht="15" hidden="false" customHeight="true" outlineLevel="0" collapsed="false">
      <c r="A231" s="1" t="str">
        <f aca="false">cleaned_data!A229</f>
        <v>STR-1057</v>
      </c>
      <c r="B231" s="3" t="n">
        <f aca="false">cleaned_data!B229</f>
        <v>45748</v>
      </c>
      <c r="C231" s="1" t="str">
        <f aca="false">cleaned_data!D229</f>
        <v>Mall</v>
      </c>
      <c r="D231" s="1" t="str">
        <f aca="false">cleaned_data!C229</f>
        <v>East</v>
      </c>
      <c r="E231" s="24" t="n">
        <f aca="false">cleaned_data!M229</f>
        <v>529598.94</v>
      </c>
      <c r="F231" s="24" t="n">
        <f aca="false">multiple_regression!B343+multiple_regression!B331*cleaned_data!F229+multiple_regression!B332*cleaned_data!E229+multiple_regression!B333*cleaned_data!H229+multiple_regression!B334*cleaned_data!I229+multiple_regression!B335*cleaned_data!G229+multiple_regression!B336*cleaned_data!K229+multiple_regression!B337*dummy_variables!E232+multiple_regression!B338*dummy_variables!F232+multiple_regression!B339*dummy_variables!G232+multiple_regression!B340*dummy_variables!H232+multiple_regression!B341*dummy_variables!I232+multiple_regression!B342*dummy_variables!J232</f>
        <v>501988.638622039</v>
      </c>
      <c r="G231" s="24" t="n">
        <f aca="false">E231-F231</f>
        <v>27610.3013779609</v>
      </c>
    </row>
    <row r="232" customFormat="false" ht="15" hidden="false" customHeight="true" outlineLevel="0" collapsed="false">
      <c r="A232" s="1" t="str">
        <f aca="false">cleaned_data!A230</f>
        <v>STR-1058</v>
      </c>
      <c r="B232" s="3" t="n">
        <f aca="false">cleaned_data!B230</f>
        <v>45658</v>
      </c>
      <c r="C232" s="1" t="str">
        <f aca="false">cleaned_data!D230</f>
        <v>High Street</v>
      </c>
      <c r="D232" s="1" t="str">
        <f aca="false">cleaned_data!C230</f>
        <v>East</v>
      </c>
      <c r="E232" s="24" t="n">
        <f aca="false">cleaned_data!M230</f>
        <v>570963.31</v>
      </c>
      <c r="F232" s="24" t="n">
        <f aca="false">multiple_regression!B343+multiple_regression!B331*cleaned_data!F230+multiple_regression!B332*cleaned_data!E230+multiple_regression!B333*cleaned_data!H230+multiple_regression!B334*cleaned_data!I230+multiple_regression!B335*cleaned_data!G230+multiple_regression!B336*cleaned_data!K230+multiple_regression!B337*dummy_variables!E233+multiple_regression!B338*dummy_variables!F233+multiple_regression!B339*dummy_variables!G233+multiple_regression!B340*dummy_variables!H233+multiple_regression!B341*dummy_variables!I233+multiple_regression!B342*dummy_variables!J233</f>
        <v>610741.929789802</v>
      </c>
      <c r="G232" s="24" t="n">
        <f aca="false">E232-F232</f>
        <v>-39778.6197898015</v>
      </c>
    </row>
    <row r="233" customFormat="false" ht="15" hidden="false" customHeight="true" outlineLevel="0" collapsed="false">
      <c r="A233" s="1" t="str">
        <f aca="false">cleaned_data!A231</f>
        <v>STR-1058</v>
      </c>
      <c r="B233" s="3" t="n">
        <f aca="false">cleaned_data!B231</f>
        <v>45689</v>
      </c>
      <c r="C233" s="1" t="str">
        <f aca="false">cleaned_data!D231</f>
        <v>High Street</v>
      </c>
      <c r="D233" s="1" t="str">
        <f aca="false">cleaned_data!C231</f>
        <v>East</v>
      </c>
      <c r="E233" s="24" t="n">
        <f aca="false">cleaned_data!M231</f>
        <v>870937.4</v>
      </c>
      <c r="F233" s="24" t="n">
        <f aca="false">multiple_regression!B343+multiple_regression!B331*cleaned_data!F231+multiple_regression!B332*cleaned_data!E231+multiple_regression!B333*cleaned_data!H231+multiple_regression!B334*cleaned_data!I231+multiple_regression!B335*cleaned_data!G231+multiple_regression!B336*cleaned_data!K231+multiple_regression!B337*dummy_variables!E234+multiple_regression!B338*dummy_variables!F234+multiple_regression!B339*dummy_variables!G234+multiple_regression!B340*dummy_variables!H234+multiple_regression!B341*dummy_variables!I234+multiple_regression!B342*dummy_variables!J234</f>
        <v>813752.068575243</v>
      </c>
      <c r="G233" s="24" t="n">
        <f aca="false">E233-F233</f>
        <v>57185.3314247574</v>
      </c>
    </row>
    <row r="234" customFormat="false" ht="15" hidden="false" customHeight="true" outlineLevel="0" collapsed="false">
      <c r="A234" s="1" t="str">
        <f aca="false">cleaned_data!A232</f>
        <v>STR-1058</v>
      </c>
      <c r="B234" s="3" t="n">
        <f aca="false">cleaned_data!B232</f>
        <v>45717</v>
      </c>
      <c r="C234" s="1" t="str">
        <f aca="false">cleaned_data!D232</f>
        <v>High Street</v>
      </c>
      <c r="D234" s="1" t="str">
        <f aca="false">cleaned_data!C232</f>
        <v>East</v>
      </c>
      <c r="E234" s="24" t="n">
        <f aca="false">cleaned_data!M232</f>
        <v>596969.27</v>
      </c>
      <c r="F234" s="24" t="n">
        <f aca="false">multiple_regression!B343+multiple_regression!B331*cleaned_data!F232+multiple_regression!B332*cleaned_data!E232+multiple_regression!B333*cleaned_data!H232+multiple_regression!B334*cleaned_data!I232+multiple_regression!B335*cleaned_data!G232+multiple_regression!B336*cleaned_data!K232+multiple_regression!B337*dummy_variables!E235+multiple_regression!B338*dummy_variables!F235+multiple_regression!B339*dummy_variables!G235+multiple_regression!B340*dummy_variables!H235+multiple_regression!B341*dummy_variables!I235+multiple_regression!B342*dummy_variables!J235</f>
        <v>622058.126393983</v>
      </c>
      <c r="G234" s="24" t="n">
        <f aca="false">E234-F234</f>
        <v>-25088.8563939827</v>
      </c>
    </row>
    <row r="235" customFormat="false" ht="15" hidden="false" customHeight="true" outlineLevel="0" collapsed="false">
      <c r="A235" s="1" t="str">
        <f aca="false">cleaned_data!A233</f>
        <v>STR-1058</v>
      </c>
      <c r="B235" s="3" t="n">
        <f aca="false">cleaned_data!B233</f>
        <v>45748</v>
      </c>
      <c r="C235" s="1" t="str">
        <f aca="false">cleaned_data!D233</f>
        <v>High Street</v>
      </c>
      <c r="D235" s="1" t="str">
        <f aca="false">cleaned_data!C233</f>
        <v>East</v>
      </c>
      <c r="E235" s="24" t="n">
        <f aca="false">cleaned_data!M233</f>
        <v>647512.85</v>
      </c>
      <c r="F235" s="24" t="n">
        <f aca="false">multiple_regression!B343+multiple_regression!B331*cleaned_data!F233+multiple_regression!B332*cleaned_data!E233+multiple_regression!B333*cleaned_data!H233+multiple_regression!B334*cleaned_data!I233+multiple_regression!B335*cleaned_data!G233+multiple_regression!B336*cleaned_data!K233+multiple_regression!B337*dummy_variables!E236+multiple_regression!B338*dummy_variables!F236+multiple_regression!B339*dummy_variables!G236+multiple_regression!B340*dummy_variables!H236+multiple_regression!B341*dummy_variables!I236+multiple_regression!B342*dummy_variables!J236</f>
        <v>612781.024256256</v>
      </c>
      <c r="G235" s="24" t="n">
        <f aca="false">E235-F235</f>
        <v>34731.8257437436</v>
      </c>
    </row>
    <row r="236" customFormat="false" ht="15" hidden="false" customHeight="true" outlineLevel="0" collapsed="false">
      <c r="A236" s="1" t="str">
        <f aca="false">cleaned_data!A234</f>
        <v>STR-1059</v>
      </c>
      <c r="B236" s="3" t="n">
        <f aca="false">cleaned_data!B234</f>
        <v>45658</v>
      </c>
      <c r="C236" s="1" t="str">
        <f aca="false">cleaned_data!D234</f>
        <v>Residential</v>
      </c>
      <c r="D236" s="1" t="str">
        <f aca="false">cleaned_data!C234</f>
        <v>West</v>
      </c>
      <c r="E236" s="24" t="n">
        <f aca="false">cleaned_data!M234</f>
        <v>658072.14</v>
      </c>
      <c r="F236" s="24" t="n">
        <f aca="false">multiple_regression!B343+multiple_regression!B331*cleaned_data!F234+multiple_regression!B332*cleaned_data!E234+multiple_regression!B333*cleaned_data!H234+multiple_regression!B334*cleaned_data!I234+multiple_regression!B335*cleaned_data!G234+multiple_regression!B336*cleaned_data!K234+multiple_regression!B337*dummy_variables!E237+multiple_regression!B338*dummy_variables!F237+multiple_regression!B339*dummy_variables!G237+multiple_regression!B340*dummy_variables!H237+multiple_regression!B341*dummy_variables!I237+multiple_regression!B342*dummy_variables!J237</f>
        <v>608379.541040071</v>
      </c>
      <c r="G236" s="24" t="n">
        <f aca="false">E236-F236</f>
        <v>49692.5989599288</v>
      </c>
    </row>
    <row r="237" customFormat="false" ht="15" hidden="false" customHeight="true" outlineLevel="0" collapsed="false">
      <c r="A237" s="1" t="str">
        <f aca="false">cleaned_data!A235</f>
        <v>STR-1059</v>
      </c>
      <c r="B237" s="3" t="n">
        <f aca="false">cleaned_data!B235</f>
        <v>45689</v>
      </c>
      <c r="C237" s="1" t="str">
        <f aca="false">cleaned_data!D235</f>
        <v>Residential</v>
      </c>
      <c r="D237" s="1" t="str">
        <f aca="false">cleaned_data!C235</f>
        <v>West</v>
      </c>
      <c r="E237" s="24" t="n">
        <f aca="false">cleaned_data!M235</f>
        <v>723305.11</v>
      </c>
      <c r="F237" s="24" t="n">
        <f aca="false">multiple_regression!B343+multiple_regression!B331*cleaned_data!F235+multiple_regression!B332*cleaned_data!E235+multiple_regression!B333*cleaned_data!H235+multiple_regression!B334*cleaned_data!I235+multiple_regression!B335*cleaned_data!G235+multiple_regression!B336*cleaned_data!K235+multiple_regression!B337*dummy_variables!E238+multiple_regression!B338*dummy_variables!F238+multiple_regression!B339*dummy_variables!G238+multiple_regression!B340*dummy_variables!H238+multiple_regression!B341*dummy_variables!I238+multiple_regression!B342*dummy_variables!J238</f>
        <v>645369.959954551</v>
      </c>
      <c r="G237" s="24" t="n">
        <f aca="false">E237-F237</f>
        <v>77935.1500454493</v>
      </c>
    </row>
    <row r="238" customFormat="false" ht="15" hidden="false" customHeight="true" outlineLevel="0" collapsed="false">
      <c r="A238" s="1" t="str">
        <f aca="false">cleaned_data!A236</f>
        <v>STR-1059</v>
      </c>
      <c r="B238" s="3" t="n">
        <f aca="false">cleaned_data!B236</f>
        <v>45717</v>
      </c>
      <c r="C238" s="1" t="str">
        <f aca="false">cleaned_data!D236</f>
        <v>Residential</v>
      </c>
      <c r="D238" s="1" t="str">
        <f aca="false">cleaned_data!C236</f>
        <v>West</v>
      </c>
      <c r="E238" s="24" t="n">
        <f aca="false">cleaned_data!M236</f>
        <v>640666.53</v>
      </c>
      <c r="F238" s="24" t="n">
        <f aca="false">multiple_regression!B343+multiple_regression!B331*cleaned_data!F236+multiple_regression!B332*cleaned_data!E236+multiple_regression!B333*cleaned_data!H236+multiple_regression!B334*cleaned_data!I236+multiple_regression!B335*cleaned_data!G236+multiple_regression!B336*cleaned_data!K236+multiple_regression!B337*dummy_variables!E239+multiple_regression!B338*dummy_variables!F239+multiple_regression!B339*dummy_variables!G239+multiple_regression!B340*dummy_variables!H239+multiple_regression!B341*dummy_variables!I239+multiple_regression!B342*dummy_variables!J239</f>
        <v>627466.18436748</v>
      </c>
      <c r="G238" s="24" t="n">
        <f aca="false">E238-F238</f>
        <v>13200.3456325197</v>
      </c>
    </row>
    <row r="239" customFormat="false" ht="15" hidden="false" customHeight="true" outlineLevel="0" collapsed="false">
      <c r="A239" s="1" t="str">
        <f aca="false">cleaned_data!A237</f>
        <v>STR-1059</v>
      </c>
      <c r="B239" s="3" t="n">
        <f aca="false">cleaned_data!B237</f>
        <v>45748</v>
      </c>
      <c r="C239" s="1" t="str">
        <f aca="false">cleaned_data!D237</f>
        <v>Residential</v>
      </c>
      <c r="D239" s="1" t="str">
        <f aca="false">cleaned_data!C237</f>
        <v>West</v>
      </c>
      <c r="E239" s="24" t="n">
        <f aca="false">cleaned_data!M237</f>
        <v>670629.48</v>
      </c>
      <c r="F239" s="24" t="n">
        <f aca="false">multiple_regression!B343+multiple_regression!B331*cleaned_data!F237+multiple_regression!B332*cleaned_data!E237+multiple_regression!B333*cleaned_data!H237+multiple_regression!B334*cleaned_data!I237+multiple_regression!B335*cleaned_data!G237+multiple_regression!B336*cleaned_data!K237+multiple_regression!B337*dummy_variables!E240+multiple_regression!B338*dummy_variables!F240+multiple_regression!B339*dummy_variables!G240+multiple_regression!B340*dummy_variables!H240+multiple_regression!B341*dummy_variables!I240+multiple_regression!B342*dummy_variables!J240</f>
        <v>662727.484409735</v>
      </c>
      <c r="G239" s="24" t="n">
        <f aca="false">E239-F239</f>
        <v>7901.99559026549</v>
      </c>
    </row>
    <row r="240" customFormat="false" ht="15" hidden="false" customHeight="true" outlineLevel="0" collapsed="false">
      <c r="A240" s="1" t="str">
        <f aca="false">cleaned_data!A238</f>
        <v>STR-1060</v>
      </c>
      <c r="B240" s="3" t="n">
        <f aca="false">cleaned_data!B238</f>
        <v>45658</v>
      </c>
      <c r="C240" s="1" t="str">
        <f aca="false">cleaned_data!D238</f>
        <v>Mall</v>
      </c>
      <c r="D240" s="1" t="str">
        <f aca="false">cleaned_data!C238</f>
        <v>West</v>
      </c>
      <c r="E240" s="24" t="n">
        <f aca="false">cleaned_data!M238</f>
        <v>721079.35</v>
      </c>
      <c r="F240" s="24" t="n">
        <f aca="false">multiple_regression!B343+multiple_regression!B331*cleaned_data!F238+multiple_regression!B332*cleaned_data!E238+multiple_regression!B333*cleaned_data!H238+multiple_regression!B334*cleaned_data!I238+multiple_regression!B335*cleaned_data!G238+multiple_regression!B336*cleaned_data!K238+multiple_regression!B337*dummy_variables!E241+multiple_regression!B338*dummy_variables!F241+multiple_regression!B339*dummy_variables!G241+multiple_regression!B340*dummy_variables!H241+multiple_regression!B341*dummy_variables!I241+multiple_regression!B342*dummy_variables!J241</f>
        <v>801999.2068248</v>
      </c>
      <c r="G240" s="24" t="n">
        <f aca="false">E240-F240</f>
        <v>-80919.8568247996</v>
      </c>
    </row>
    <row r="241" customFormat="false" ht="15" hidden="false" customHeight="true" outlineLevel="0" collapsed="false">
      <c r="A241" s="1" t="str">
        <f aca="false">cleaned_data!A239</f>
        <v>STR-1060</v>
      </c>
      <c r="B241" s="3" t="n">
        <f aca="false">cleaned_data!B239</f>
        <v>45689</v>
      </c>
      <c r="C241" s="1" t="str">
        <f aca="false">cleaned_data!D239</f>
        <v>Mall</v>
      </c>
      <c r="D241" s="1" t="str">
        <f aca="false">cleaned_data!C239</f>
        <v>West</v>
      </c>
      <c r="E241" s="24" t="n">
        <f aca="false">cleaned_data!M239</f>
        <v>810355.02</v>
      </c>
      <c r="F241" s="24" t="n">
        <f aca="false">multiple_regression!B343+multiple_regression!B331*cleaned_data!F239+multiple_regression!B332*cleaned_data!E239+multiple_regression!B333*cleaned_data!H239+multiple_regression!B334*cleaned_data!I239+multiple_regression!B335*cleaned_data!G239+multiple_regression!B336*cleaned_data!K239+multiple_regression!B337*dummy_variables!E242+multiple_regression!B338*dummy_variables!F242+multiple_regression!B339*dummy_variables!G242+multiple_regression!B340*dummy_variables!H242+multiple_regression!B341*dummy_variables!I242+multiple_regression!B342*dummy_variables!J242</f>
        <v>834857.473174169</v>
      </c>
      <c r="G241" s="24" t="n">
        <f aca="false">E241-F241</f>
        <v>-24502.4531741685</v>
      </c>
    </row>
    <row r="242" customFormat="false" ht="15" hidden="false" customHeight="true" outlineLevel="0" collapsed="false">
      <c r="A242" s="1" t="str">
        <f aca="false">cleaned_data!A240</f>
        <v>STR-1060</v>
      </c>
      <c r="B242" s="3" t="n">
        <f aca="false">cleaned_data!B240</f>
        <v>45717</v>
      </c>
      <c r="C242" s="1" t="str">
        <f aca="false">cleaned_data!D240</f>
        <v>Mall</v>
      </c>
      <c r="D242" s="1" t="str">
        <f aca="false">cleaned_data!C240</f>
        <v>West</v>
      </c>
      <c r="E242" s="24" t="n">
        <f aca="false">cleaned_data!M240</f>
        <v>761919.25</v>
      </c>
      <c r="F242" s="24" t="n">
        <f aca="false">multiple_regression!B343+multiple_regression!B331*cleaned_data!F240+multiple_regression!B332*cleaned_data!E240+multiple_regression!B333*cleaned_data!H240+multiple_regression!B334*cleaned_data!I240+multiple_regression!B335*cleaned_data!G240+multiple_regression!B336*cleaned_data!K240+multiple_regression!B337*dummy_variables!E243+multiple_regression!B338*dummy_variables!F243+multiple_regression!B339*dummy_variables!G243+multiple_regression!B340*dummy_variables!H243+multiple_regression!B341*dummy_variables!I243+multiple_regression!B342*dummy_variables!J243</f>
        <v>784004.813426971</v>
      </c>
      <c r="G242" s="24" t="n">
        <f aca="false">E242-F242</f>
        <v>-22085.5634269709</v>
      </c>
    </row>
    <row r="243" customFormat="false" ht="15" hidden="false" customHeight="true" outlineLevel="0" collapsed="false">
      <c r="A243" s="1" t="str">
        <f aca="false">cleaned_data!A241</f>
        <v>STR-1060</v>
      </c>
      <c r="B243" s="3" t="n">
        <f aca="false">cleaned_data!B241</f>
        <v>45748</v>
      </c>
      <c r="C243" s="1" t="str">
        <f aca="false">cleaned_data!D241</f>
        <v>Mall</v>
      </c>
      <c r="D243" s="1" t="str">
        <f aca="false">cleaned_data!C241</f>
        <v>West</v>
      </c>
      <c r="E243" s="24" t="n">
        <f aca="false">cleaned_data!M241</f>
        <v>737070.18</v>
      </c>
      <c r="F243" s="24" t="n">
        <f aca="false">multiple_regression!B343+multiple_regression!B331*cleaned_data!F241+multiple_regression!B332*cleaned_data!E241+multiple_regression!B333*cleaned_data!H241+multiple_regression!B334*cleaned_data!I241+multiple_regression!B335*cleaned_data!G241+multiple_regression!B336*cleaned_data!K241+multiple_regression!B337*dummy_variables!E244+multiple_regression!B338*dummy_variables!F244+multiple_regression!B339*dummy_variables!G244+multiple_regression!B340*dummy_variables!H244+multiple_regression!B341*dummy_variables!I244+multiple_regression!B342*dummy_variables!J244</f>
        <v>738445.927861097</v>
      </c>
      <c r="G243" s="24" t="n">
        <f aca="false">E243-F243</f>
        <v>-1375.74786109722</v>
      </c>
    </row>
    <row r="244" customFormat="false" ht="15" hidden="false" customHeight="true" outlineLevel="0" collapsed="false">
      <c r="A244" s="1" t="str">
        <f aca="false">cleaned_data!A242</f>
        <v>STR-1061</v>
      </c>
      <c r="B244" s="3" t="n">
        <f aca="false">cleaned_data!B242</f>
        <v>45658</v>
      </c>
      <c r="C244" s="1" t="str">
        <f aca="false">cleaned_data!D242</f>
        <v>Airport</v>
      </c>
      <c r="D244" s="1" t="str">
        <f aca="false">cleaned_data!C242</f>
        <v>South</v>
      </c>
      <c r="E244" s="24" t="n">
        <f aca="false">cleaned_data!M242</f>
        <v>776992.93</v>
      </c>
      <c r="F244" s="24" t="n">
        <f aca="false">multiple_regression!B343+multiple_regression!B331*cleaned_data!F242+multiple_regression!B332*cleaned_data!E242+multiple_regression!B333*cleaned_data!H242+multiple_regression!B334*cleaned_data!I242+multiple_regression!B335*cleaned_data!G242+multiple_regression!B336*cleaned_data!K242+multiple_regression!B337*dummy_variables!E245+multiple_regression!B338*dummy_variables!F245+multiple_regression!B339*dummy_variables!G245+multiple_regression!B340*dummy_variables!H245+multiple_regression!B341*dummy_variables!I245+multiple_regression!B342*dummy_variables!J245</f>
        <v>782963.662655083</v>
      </c>
      <c r="G244" s="24" t="n">
        <f aca="false">E244-F244</f>
        <v>-5970.73265508306</v>
      </c>
    </row>
    <row r="245" customFormat="false" ht="15" hidden="false" customHeight="true" outlineLevel="0" collapsed="false">
      <c r="A245" s="1" t="str">
        <f aca="false">cleaned_data!A243</f>
        <v>STR-1061</v>
      </c>
      <c r="B245" s="3" t="n">
        <f aca="false">cleaned_data!B243</f>
        <v>45689</v>
      </c>
      <c r="C245" s="1" t="str">
        <f aca="false">cleaned_data!D243</f>
        <v>Airport</v>
      </c>
      <c r="D245" s="1" t="str">
        <f aca="false">cleaned_data!C243</f>
        <v>South</v>
      </c>
      <c r="E245" s="24" t="n">
        <f aca="false">cleaned_data!M243</f>
        <v>676337.41</v>
      </c>
      <c r="F245" s="24" t="n">
        <f aca="false">multiple_regression!B343+multiple_regression!B331*cleaned_data!F243+multiple_regression!B332*cleaned_data!E243+multiple_regression!B333*cleaned_data!H243+multiple_regression!B334*cleaned_data!I243+multiple_regression!B335*cleaned_data!G243+multiple_regression!B336*cleaned_data!K243+multiple_regression!B337*dummy_variables!E246+multiple_regression!B338*dummy_variables!F246+multiple_regression!B339*dummy_variables!G246+multiple_regression!B340*dummy_variables!H246+multiple_regression!B341*dummy_variables!I246+multiple_regression!B342*dummy_variables!J246</f>
        <v>662019.482239444</v>
      </c>
      <c r="G245" s="24" t="n">
        <f aca="false">E245-F245</f>
        <v>14317.9277605559</v>
      </c>
    </row>
    <row r="246" customFormat="false" ht="15" hidden="false" customHeight="true" outlineLevel="0" collapsed="false">
      <c r="A246" s="1" t="str">
        <f aca="false">cleaned_data!A244</f>
        <v>STR-1061</v>
      </c>
      <c r="B246" s="3" t="n">
        <f aca="false">cleaned_data!B244</f>
        <v>45717</v>
      </c>
      <c r="C246" s="1" t="str">
        <f aca="false">cleaned_data!D244</f>
        <v>Airport</v>
      </c>
      <c r="D246" s="1" t="str">
        <f aca="false">cleaned_data!C244</f>
        <v>South</v>
      </c>
      <c r="E246" s="24" t="n">
        <f aca="false">cleaned_data!M244</f>
        <v>828219.67</v>
      </c>
      <c r="F246" s="24" t="n">
        <f aca="false">multiple_regression!B343+multiple_regression!B331*cleaned_data!F244+multiple_regression!B332*cleaned_data!E244+multiple_regression!B333*cleaned_data!H244+multiple_regression!B334*cleaned_data!I244+multiple_regression!B335*cleaned_data!G244+multiple_regression!B336*cleaned_data!K244+multiple_regression!B337*dummy_variables!E247+multiple_regression!B338*dummy_variables!F247+multiple_regression!B339*dummy_variables!G247+multiple_regression!B340*dummy_variables!H247+multiple_regression!B341*dummy_variables!I247+multiple_regression!B342*dummy_variables!J247</f>
        <v>834457.064149673</v>
      </c>
      <c r="G246" s="24" t="n">
        <f aca="false">E246-F246</f>
        <v>-6237.39414967282</v>
      </c>
    </row>
    <row r="247" customFormat="false" ht="15" hidden="false" customHeight="true" outlineLevel="0" collapsed="false">
      <c r="A247" s="1" t="str">
        <f aca="false">cleaned_data!A245</f>
        <v>STR-1061</v>
      </c>
      <c r="B247" s="3" t="n">
        <f aca="false">cleaned_data!B245</f>
        <v>45748</v>
      </c>
      <c r="C247" s="1" t="str">
        <f aca="false">cleaned_data!D245</f>
        <v>Airport</v>
      </c>
      <c r="D247" s="1" t="str">
        <f aca="false">cleaned_data!C245</f>
        <v>South</v>
      </c>
      <c r="E247" s="24" t="n">
        <f aca="false">cleaned_data!M245</f>
        <v>763159.92</v>
      </c>
      <c r="F247" s="24" t="n">
        <f aca="false">multiple_regression!B343+multiple_regression!B331*cleaned_data!F245+multiple_regression!B332*cleaned_data!E245+multiple_regression!B333*cleaned_data!H245+multiple_regression!B334*cleaned_data!I245+multiple_regression!B335*cleaned_data!G245+multiple_regression!B336*cleaned_data!K245+multiple_regression!B337*dummy_variables!E248+multiple_regression!B338*dummy_variables!F248+multiple_regression!B339*dummy_variables!G248+multiple_regression!B340*dummy_variables!H248+multiple_regression!B341*dummy_variables!I248+multiple_regression!B342*dummy_variables!J248</f>
        <v>786569.322828516</v>
      </c>
      <c r="G247" s="24" t="n">
        <f aca="false">E247-F247</f>
        <v>-23409.4028285162</v>
      </c>
    </row>
    <row r="248" customFormat="false" ht="15" hidden="false" customHeight="true" outlineLevel="0" collapsed="false">
      <c r="A248" s="1" t="str">
        <f aca="false">cleaned_data!A246</f>
        <v>STR-1062</v>
      </c>
      <c r="B248" s="3" t="n">
        <f aca="false">cleaned_data!B246</f>
        <v>45658</v>
      </c>
      <c r="C248" s="1" t="str">
        <f aca="false">cleaned_data!D246</f>
        <v>High Street</v>
      </c>
      <c r="D248" s="1" t="str">
        <f aca="false">cleaned_data!C246</f>
        <v>East</v>
      </c>
      <c r="E248" s="24" t="n">
        <f aca="false">cleaned_data!M246</f>
        <v>802001.68</v>
      </c>
      <c r="F248" s="24" t="n">
        <f aca="false">multiple_regression!B343+multiple_regression!B331*cleaned_data!F246+multiple_regression!B332*cleaned_data!E246+multiple_regression!B333*cleaned_data!H246+multiple_regression!B334*cleaned_data!I246+multiple_regression!B335*cleaned_data!G246+multiple_regression!B336*cleaned_data!K246+multiple_regression!B337*dummy_variables!E249+multiple_regression!B338*dummy_variables!F249+multiple_regression!B339*dummy_variables!G249+multiple_regression!B340*dummy_variables!H249+multiple_regression!B341*dummy_variables!I249+multiple_regression!B342*dummy_variables!J249</f>
        <v>778843.052858822</v>
      </c>
      <c r="G248" s="24" t="n">
        <f aca="false">E248-F248</f>
        <v>23158.6271411786</v>
      </c>
    </row>
    <row r="249" customFormat="false" ht="15" hidden="false" customHeight="true" outlineLevel="0" collapsed="false">
      <c r="A249" s="1" t="str">
        <f aca="false">cleaned_data!A247</f>
        <v>STR-1062</v>
      </c>
      <c r="B249" s="3" t="n">
        <f aca="false">cleaned_data!B247</f>
        <v>45689</v>
      </c>
      <c r="C249" s="1" t="str">
        <f aca="false">cleaned_data!D247</f>
        <v>High Street</v>
      </c>
      <c r="D249" s="1" t="str">
        <f aca="false">cleaned_data!C247</f>
        <v>East</v>
      </c>
      <c r="E249" s="24" t="n">
        <f aca="false">cleaned_data!M247</f>
        <v>750471.34</v>
      </c>
      <c r="F249" s="24" t="n">
        <f aca="false">multiple_regression!B343+multiple_regression!B331*cleaned_data!F247+multiple_regression!B332*cleaned_data!E247+multiple_regression!B333*cleaned_data!H247+multiple_regression!B334*cleaned_data!I247+multiple_regression!B335*cleaned_data!G247+multiple_regression!B336*cleaned_data!K247+multiple_regression!B337*dummy_variables!E250+multiple_regression!B338*dummy_variables!F250+multiple_regression!B339*dummy_variables!G250+multiple_regression!B340*dummy_variables!H250+multiple_regression!B341*dummy_variables!I250+multiple_regression!B342*dummy_variables!J250</f>
        <v>740718.591155602</v>
      </c>
      <c r="G249" s="24" t="n">
        <f aca="false">E249-F249</f>
        <v>9752.74884439772</v>
      </c>
    </row>
    <row r="250" customFormat="false" ht="15" hidden="false" customHeight="true" outlineLevel="0" collapsed="false">
      <c r="A250" s="1" t="str">
        <f aca="false">cleaned_data!A248</f>
        <v>STR-1062</v>
      </c>
      <c r="B250" s="3" t="n">
        <f aca="false">cleaned_data!B248</f>
        <v>45717</v>
      </c>
      <c r="C250" s="1" t="str">
        <f aca="false">cleaned_data!D248</f>
        <v>High Street</v>
      </c>
      <c r="D250" s="1" t="str">
        <f aca="false">cleaned_data!C248</f>
        <v>East</v>
      </c>
      <c r="E250" s="24" t="n">
        <f aca="false">cleaned_data!M248</f>
        <v>679230.86</v>
      </c>
      <c r="F250" s="24" t="n">
        <f aca="false">multiple_regression!B343+multiple_regression!B331*cleaned_data!F248+multiple_regression!B332*cleaned_data!E248+multiple_regression!B333*cleaned_data!H248+multiple_regression!B334*cleaned_data!I248+multiple_regression!B335*cleaned_data!G248+multiple_regression!B336*cleaned_data!K248+multiple_regression!B337*dummy_variables!E251+multiple_regression!B338*dummy_variables!F251+multiple_regression!B339*dummy_variables!G251+multiple_regression!B340*dummy_variables!H251+multiple_regression!B341*dummy_variables!I251+multiple_regression!B342*dummy_variables!J251</f>
        <v>711779.31239132</v>
      </c>
      <c r="G250" s="24" t="n">
        <f aca="false">E250-F250</f>
        <v>-32548.4523913199</v>
      </c>
    </row>
    <row r="251" customFormat="false" ht="15" hidden="false" customHeight="true" outlineLevel="0" collapsed="false">
      <c r="A251" s="1" t="str">
        <f aca="false">cleaned_data!A249</f>
        <v>STR-1062</v>
      </c>
      <c r="B251" s="3" t="n">
        <f aca="false">cleaned_data!B249</f>
        <v>45748</v>
      </c>
      <c r="C251" s="1" t="str">
        <f aca="false">cleaned_data!D249</f>
        <v>High Street</v>
      </c>
      <c r="D251" s="1" t="str">
        <f aca="false">cleaned_data!C249</f>
        <v>East</v>
      </c>
      <c r="E251" s="24" t="n">
        <f aca="false">cleaned_data!M249</f>
        <v>679888.74</v>
      </c>
      <c r="F251" s="24" t="n">
        <f aca="false">multiple_regression!B343+multiple_regression!B331*cleaned_data!F249+multiple_regression!B332*cleaned_data!E249+multiple_regression!B333*cleaned_data!H249+multiple_regression!B334*cleaned_data!I249+multiple_regression!B335*cleaned_data!G249+multiple_regression!B336*cleaned_data!K249+multiple_regression!B337*dummy_variables!E252+multiple_regression!B338*dummy_variables!F252+multiple_regression!B339*dummy_variables!G252+multiple_regression!B340*dummy_variables!H252+multiple_regression!B341*dummy_variables!I252+multiple_regression!B342*dummy_variables!J252</f>
        <v>683117.980593181</v>
      </c>
      <c r="G251" s="24" t="n">
        <f aca="false">E251-F251</f>
        <v>-3229.24059318122</v>
      </c>
    </row>
    <row r="252" customFormat="false" ht="15" hidden="false" customHeight="true" outlineLevel="0" collapsed="false">
      <c r="A252" s="1" t="str">
        <f aca="false">cleaned_data!A250</f>
        <v>STR-1063</v>
      </c>
      <c r="B252" s="3" t="n">
        <f aca="false">cleaned_data!B250</f>
        <v>45658</v>
      </c>
      <c r="C252" s="1" t="str">
        <f aca="false">cleaned_data!D250</f>
        <v>High Street</v>
      </c>
      <c r="D252" s="1" t="str">
        <f aca="false">cleaned_data!C250</f>
        <v>North</v>
      </c>
      <c r="E252" s="24" t="n">
        <f aca="false">cleaned_data!M250</f>
        <v>606783.67</v>
      </c>
      <c r="F252" s="24" t="n">
        <f aca="false">multiple_regression!B343+multiple_regression!B331*cleaned_data!F250+multiple_regression!B332*cleaned_data!E250+multiple_regression!B333*cleaned_data!H250+multiple_regression!B334*cleaned_data!I250+multiple_regression!B335*cleaned_data!G250+multiple_regression!B336*cleaned_data!K250+multiple_regression!B337*dummy_variables!E253+multiple_regression!B338*dummy_variables!F253+multiple_regression!B339*dummy_variables!G253+multiple_regression!B340*dummy_variables!H253+multiple_regression!B341*dummy_variables!I253+multiple_regression!B342*dummy_variables!J253</f>
        <v>585276.253289623</v>
      </c>
      <c r="G252" s="24" t="n">
        <f aca="false">E252-F252</f>
        <v>21507.4167103767</v>
      </c>
    </row>
    <row r="253" customFormat="false" ht="15" hidden="false" customHeight="true" outlineLevel="0" collapsed="false">
      <c r="A253" s="1" t="str">
        <f aca="false">cleaned_data!A251</f>
        <v>STR-1063</v>
      </c>
      <c r="B253" s="3" t="n">
        <f aca="false">cleaned_data!B251</f>
        <v>45689</v>
      </c>
      <c r="C253" s="1" t="str">
        <f aca="false">cleaned_data!D251</f>
        <v>High Street</v>
      </c>
      <c r="D253" s="1" t="str">
        <f aca="false">cleaned_data!C251</f>
        <v>North</v>
      </c>
      <c r="E253" s="24" t="n">
        <f aca="false">cleaned_data!M251</f>
        <v>642751.42</v>
      </c>
      <c r="F253" s="24" t="n">
        <f aca="false">multiple_regression!B343+multiple_regression!B331*cleaned_data!F251+multiple_regression!B332*cleaned_data!E251+multiple_regression!B333*cleaned_data!H251+multiple_regression!B334*cleaned_data!I251+multiple_regression!B335*cleaned_data!G251+multiple_regression!B336*cleaned_data!K251+multiple_regression!B337*dummy_variables!E254+multiple_regression!B338*dummy_variables!F254+multiple_regression!B339*dummy_variables!G254+multiple_regression!B340*dummy_variables!H254+multiple_regression!B341*dummy_variables!I254+multiple_regression!B342*dummy_variables!J254</f>
        <v>659130.114134055</v>
      </c>
      <c r="G253" s="24" t="n">
        <f aca="false">E253-F253</f>
        <v>-16378.6941340545</v>
      </c>
    </row>
    <row r="254" customFormat="false" ht="15" hidden="false" customHeight="true" outlineLevel="0" collapsed="false">
      <c r="A254" s="1" t="str">
        <f aca="false">cleaned_data!A252</f>
        <v>STR-1063</v>
      </c>
      <c r="B254" s="3" t="n">
        <f aca="false">cleaned_data!B252</f>
        <v>45717</v>
      </c>
      <c r="C254" s="1" t="str">
        <f aca="false">cleaned_data!D252</f>
        <v>High Street</v>
      </c>
      <c r="D254" s="1" t="str">
        <f aca="false">cleaned_data!C252</f>
        <v>North</v>
      </c>
      <c r="E254" s="24" t="n">
        <f aca="false">cleaned_data!M252</f>
        <v>647953.78</v>
      </c>
      <c r="F254" s="24" t="n">
        <f aca="false">multiple_regression!B343+multiple_regression!B331*cleaned_data!F252+multiple_regression!B332*cleaned_data!E252+multiple_regression!B333*cleaned_data!H252+multiple_regression!B334*cleaned_data!I252+multiple_regression!B335*cleaned_data!G252+multiple_regression!B336*cleaned_data!K252+multiple_regression!B337*dummy_variables!E255+multiple_regression!B338*dummy_variables!F255+multiple_regression!B339*dummy_variables!G255+multiple_regression!B340*dummy_variables!H255+multiple_regression!B341*dummy_variables!I255+multiple_regression!B342*dummy_variables!J255</f>
        <v>636467.572734064</v>
      </c>
      <c r="G254" s="24" t="n">
        <f aca="false">E254-F254</f>
        <v>11486.2072659363</v>
      </c>
    </row>
    <row r="255" customFormat="false" ht="15" hidden="false" customHeight="true" outlineLevel="0" collapsed="false">
      <c r="A255" s="1" t="str">
        <f aca="false">cleaned_data!A253</f>
        <v>STR-1063</v>
      </c>
      <c r="B255" s="3" t="n">
        <f aca="false">cleaned_data!B253</f>
        <v>45748</v>
      </c>
      <c r="C255" s="1" t="str">
        <f aca="false">cleaned_data!D253</f>
        <v>High Street</v>
      </c>
      <c r="D255" s="1" t="str">
        <f aca="false">cleaned_data!C253</f>
        <v>North</v>
      </c>
      <c r="E255" s="24" t="n">
        <f aca="false">cleaned_data!M253</f>
        <v>729440.45</v>
      </c>
      <c r="F255" s="24" t="n">
        <f aca="false">multiple_regression!B343+multiple_regression!B331*cleaned_data!F253+multiple_regression!B332*cleaned_data!E253+multiple_regression!B333*cleaned_data!H253+multiple_regression!B334*cleaned_data!I253+multiple_regression!B335*cleaned_data!G253+multiple_regression!B336*cleaned_data!K253+multiple_regression!B337*dummy_variables!E256+multiple_regression!B338*dummy_variables!F256+multiple_regression!B339*dummy_variables!G256+multiple_regression!B340*dummy_variables!H256+multiple_regression!B341*dummy_variables!I256+multiple_regression!B342*dummy_variables!J256</f>
        <v>697562.025663428</v>
      </c>
      <c r="G255" s="24" t="n">
        <f aca="false">E255-F255</f>
        <v>31878.4243365722</v>
      </c>
    </row>
    <row r="256" customFormat="false" ht="15" hidden="false" customHeight="true" outlineLevel="0" collapsed="false">
      <c r="A256" s="1" t="str">
        <f aca="false">cleaned_data!A254</f>
        <v>STR-1064</v>
      </c>
      <c r="B256" s="3" t="n">
        <f aca="false">cleaned_data!B254</f>
        <v>45658</v>
      </c>
      <c r="C256" s="1" t="str">
        <f aca="false">cleaned_data!D254</f>
        <v>Airport</v>
      </c>
      <c r="D256" s="1" t="str">
        <f aca="false">cleaned_data!C254</f>
        <v>South</v>
      </c>
      <c r="E256" s="24" t="n">
        <f aca="false">cleaned_data!M254</f>
        <v>764949</v>
      </c>
      <c r="F256" s="24" t="n">
        <f aca="false">multiple_regression!B343+multiple_regression!B331*cleaned_data!F254+multiple_regression!B332*cleaned_data!E254+multiple_regression!B333*cleaned_data!H254+multiple_regression!B334*cleaned_data!I254+multiple_regression!B335*cleaned_data!G254+multiple_regression!B336*cleaned_data!K254+multiple_regression!B337*dummy_variables!E257+multiple_regression!B338*dummy_variables!F257+multiple_regression!B339*dummy_variables!G257+multiple_regression!B340*dummy_variables!H257+multiple_regression!B341*dummy_variables!I257+multiple_regression!B342*dummy_variables!J257</f>
        <v>778889.437905579</v>
      </c>
      <c r="G256" s="24" t="n">
        <f aca="false">E256-F256</f>
        <v>-13940.4379055788</v>
      </c>
    </row>
    <row r="257" customFormat="false" ht="15" hidden="false" customHeight="true" outlineLevel="0" collapsed="false">
      <c r="A257" s="1" t="str">
        <f aca="false">cleaned_data!A255</f>
        <v>STR-1064</v>
      </c>
      <c r="B257" s="3" t="n">
        <f aca="false">cleaned_data!B255</f>
        <v>45689</v>
      </c>
      <c r="C257" s="1" t="str">
        <f aca="false">cleaned_data!D255</f>
        <v>Airport</v>
      </c>
      <c r="D257" s="1" t="str">
        <f aca="false">cleaned_data!C255</f>
        <v>South</v>
      </c>
      <c r="E257" s="24" t="n">
        <f aca="false">cleaned_data!M255</f>
        <v>799046.94</v>
      </c>
      <c r="F257" s="24" t="n">
        <f aca="false">multiple_regression!B343+multiple_regression!B331*cleaned_data!F255+multiple_regression!B332*cleaned_data!E255+multiple_regression!B333*cleaned_data!H255+multiple_regression!B334*cleaned_data!I255+multiple_regression!B335*cleaned_data!G255+multiple_regression!B336*cleaned_data!K255+multiple_regression!B337*dummy_variables!E258+multiple_regression!B338*dummy_variables!F258+multiple_regression!B339*dummy_variables!G258+multiple_regression!B340*dummy_variables!H258+multiple_regression!B341*dummy_variables!I258+multiple_regression!B342*dummy_variables!J258</f>
        <v>732946.017366418</v>
      </c>
      <c r="G257" s="24" t="n">
        <f aca="false">E257-F257</f>
        <v>66100.9226335823</v>
      </c>
    </row>
    <row r="258" customFormat="false" ht="15" hidden="false" customHeight="true" outlineLevel="0" collapsed="false">
      <c r="A258" s="1" t="str">
        <f aca="false">cleaned_data!A256</f>
        <v>STR-1064</v>
      </c>
      <c r="B258" s="3" t="n">
        <f aca="false">cleaned_data!B256</f>
        <v>45717</v>
      </c>
      <c r="C258" s="1" t="str">
        <f aca="false">cleaned_data!D256</f>
        <v>Airport</v>
      </c>
      <c r="D258" s="1" t="str">
        <f aca="false">cleaned_data!C256</f>
        <v>South</v>
      </c>
      <c r="E258" s="24" t="n">
        <f aca="false">cleaned_data!M256</f>
        <v>720079.54</v>
      </c>
      <c r="F258" s="24" t="n">
        <f aca="false">multiple_regression!B343+multiple_regression!B331*cleaned_data!F256+multiple_regression!B332*cleaned_data!E256+multiple_regression!B333*cleaned_data!H256+multiple_regression!B334*cleaned_data!I256+multiple_regression!B335*cleaned_data!G256+multiple_regression!B336*cleaned_data!K256+multiple_regression!B337*dummy_variables!E259+multiple_regression!B338*dummy_variables!F259+multiple_regression!B339*dummy_variables!G259+multiple_regression!B340*dummy_variables!H259+multiple_regression!B341*dummy_variables!I259+multiple_regression!B342*dummy_variables!J259</f>
        <v>696385.827913259</v>
      </c>
      <c r="G258" s="24" t="n">
        <f aca="false">E258-F258</f>
        <v>23693.712086741</v>
      </c>
    </row>
    <row r="259" customFormat="false" ht="15" hidden="false" customHeight="true" outlineLevel="0" collapsed="false">
      <c r="A259" s="1" t="str">
        <f aca="false">cleaned_data!A257</f>
        <v>STR-1064</v>
      </c>
      <c r="B259" s="3" t="n">
        <f aca="false">cleaned_data!B257</f>
        <v>45748</v>
      </c>
      <c r="C259" s="1" t="str">
        <f aca="false">cleaned_data!D257</f>
        <v>Airport</v>
      </c>
      <c r="D259" s="1" t="str">
        <f aca="false">cleaned_data!C257</f>
        <v>South</v>
      </c>
      <c r="E259" s="24" t="n">
        <f aca="false">cleaned_data!M257</f>
        <v>612390.14</v>
      </c>
      <c r="F259" s="24" t="n">
        <f aca="false">multiple_regression!B343+multiple_regression!B331*cleaned_data!F257+multiple_regression!B332*cleaned_data!E257+multiple_regression!B333*cleaned_data!H257+multiple_regression!B334*cleaned_data!I257+multiple_regression!B335*cleaned_data!G257+multiple_regression!B336*cleaned_data!K257+multiple_regression!B337*dummy_variables!E260+multiple_regression!B338*dummy_variables!F260+multiple_regression!B339*dummy_variables!G260+multiple_regression!B340*dummy_variables!H260+multiple_regression!B341*dummy_variables!I260+multiple_regression!B342*dummy_variables!J260</f>
        <v>671558.977217243</v>
      </c>
      <c r="G259" s="24" t="n">
        <f aca="false">E259-F259</f>
        <v>-59168.8372172433</v>
      </c>
    </row>
    <row r="260" customFormat="false" ht="15" hidden="false" customHeight="true" outlineLevel="0" collapsed="false">
      <c r="A260" s="1" t="str">
        <f aca="false">cleaned_data!A258</f>
        <v>STR-1065</v>
      </c>
      <c r="B260" s="3" t="n">
        <f aca="false">cleaned_data!B258</f>
        <v>45658</v>
      </c>
      <c r="C260" s="1" t="str">
        <f aca="false">cleaned_data!D258</f>
        <v>Mall</v>
      </c>
      <c r="D260" s="1" t="str">
        <f aca="false">cleaned_data!C258</f>
        <v>South</v>
      </c>
      <c r="E260" s="24" t="n">
        <f aca="false">cleaned_data!M258</f>
        <v>840108.12</v>
      </c>
      <c r="F260" s="24" t="n">
        <f aca="false">multiple_regression!B343+multiple_regression!B331*cleaned_data!F258+multiple_regression!B332*cleaned_data!E258+multiple_regression!B333*cleaned_data!H258+multiple_regression!B334*cleaned_data!I258+multiple_regression!B335*cleaned_data!G258+multiple_regression!B336*cleaned_data!K258+multiple_regression!B337*dummy_variables!E261+multiple_regression!B338*dummy_variables!F261+multiple_regression!B339*dummy_variables!G261+multiple_regression!B340*dummy_variables!H261+multiple_regression!B341*dummy_variables!I261+multiple_regression!B342*dummy_variables!J261</f>
        <v>780472.828465563</v>
      </c>
      <c r="G260" s="24" t="n">
        <f aca="false">E260-F260</f>
        <v>59635.2915344371</v>
      </c>
    </row>
    <row r="261" customFormat="false" ht="15" hidden="false" customHeight="true" outlineLevel="0" collapsed="false">
      <c r="A261" s="1" t="str">
        <f aca="false">cleaned_data!A259</f>
        <v>STR-1065</v>
      </c>
      <c r="B261" s="3" t="n">
        <f aca="false">cleaned_data!B259</f>
        <v>45689</v>
      </c>
      <c r="C261" s="1" t="str">
        <f aca="false">cleaned_data!D259</f>
        <v>Mall</v>
      </c>
      <c r="D261" s="1" t="str">
        <f aca="false">cleaned_data!C259</f>
        <v>South</v>
      </c>
      <c r="E261" s="24" t="n">
        <f aca="false">cleaned_data!M259</f>
        <v>697888.09</v>
      </c>
      <c r="F261" s="24" t="n">
        <f aca="false">multiple_regression!B343+multiple_regression!B331*cleaned_data!F259+multiple_regression!B332*cleaned_data!E259+multiple_regression!B333*cleaned_data!H259+multiple_regression!B334*cleaned_data!I259+multiple_regression!B335*cleaned_data!G259+multiple_regression!B336*cleaned_data!K259+multiple_regression!B337*dummy_variables!E262+multiple_regression!B338*dummy_variables!F262+multiple_regression!B339*dummy_variables!G262+multiple_regression!B340*dummy_variables!H262+multiple_regression!B341*dummy_variables!I262+multiple_regression!B342*dummy_variables!J262</f>
        <v>686899.377389254</v>
      </c>
      <c r="G261" s="24" t="n">
        <f aca="false">E261-F261</f>
        <v>10988.7126107465</v>
      </c>
    </row>
    <row r="262" customFormat="false" ht="15" hidden="false" customHeight="true" outlineLevel="0" collapsed="false">
      <c r="A262" s="1" t="str">
        <f aca="false">cleaned_data!A260</f>
        <v>STR-1065</v>
      </c>
      <c r="B262" s="3" t="n">
        <f aca="false">cleaned_data!B260</f>
        <v>45717</v>
      </c>
      <c r="C262" s="1" t="str">
        <f aca="false">cleaned_data!D260</f>
        <v>Mall</v>
      </c>
      <c r="D262" s="1" t="str">
        <f aca="false">cleaned_data!C260</f>
        <v>South</v>
      </c>
      <c r="E262" s="24" t="n">
        <f aca="false">cleaned_data!M260</f>
        <v>746115.59</v>
      </c>
      <c r="F262" s="24" t="n">
        <f aca="false">multiple_regression!B343+multiple_regression!B331*cleaned_data!F260+multiple_regression!B332*cleaned_data!E260+multiple_regression!B333*cleaned_data!H260+multiple_regression!B334*cleaned_data!I260+multiple_regression!B335*cleaned_data!G260+multiple_regression!B336*cleaned_data!K260+multiple_regression!B337*dummy_variables!E263+multiple_regression!B338*dummy_variables!F263+multiple_regression!B339*dummy_variables!G263+multiple_regression!B340*dummy_variables!H263+multiple_regression!B341*dummy_variables!I263+multiple_regression!B342*dummy_variables!J263</f>
        <v>747600.019730864</v>
      </c>
      <c r="G262" s="24" t="n">
        <f aca="false">E262-F262</f>
        <v>-1484.42973086354</v>
      </c>
    </row>
    <row r="263" customFormat="false" ht="15" hidden="false" customHeight="true" outlineLevel="0" collapsed="false">
      <c r="A263" s="1" t="str">
        <f aca="false">cleaned_data!A261</f>
        <v>STR-1065</v>
      </c>
      <c r="B263" s="3" t="n">
        <f aca="false">cleaned_data!B261</f>
        <v>45748</v>
      </c>
      <c r="C263" s="1" t="str">
        <f aca="false">cleaned_data!D261</f>
        <v>Mall</v>
      </c>
      <c r="D263" s="1" t="str">
        <f aca="false">cleaned_data!C261</f>
        <v>South</v>
      </c>
      <c r="E263" s="24" t="n">
        <f aca="false">cleaned_data!M261</f>
        <v>776110.32</v>
      </c>
      <c r="F263" s="24" t="n">
        <f aca="false">multiple_regression!B343+multiple_regression!B331*cleaned_data!F261+multiple_regression!B332*cleaned_data!E261+multiple_regression!B333*cleaned_data!H261+multiple_regression!B334*cleaned_data!I261+multiple_regression!B335*cleaned_data!G261+multiple_regression!B336*cleaned_data!K261+multiple_regression!B337*dummy_variables!E264+multiple_regression!B338*dummy_variables!F264+multiple_regression!B339*dummy_variables!G264+multiple_regression!B340*dummy_variables!H264+multiple_regression!B341*dummy_variables!I264+multiple_regression!B342*dummy_variables!J264</f>
        <v>745655.443843476</v>
      </c>
      <c r="G263" s="24" t="n">
        <f aca="false">E263-F263</f>
        <v>30454.8761565244</v>
      </c>
    </row>
    <row r="264" customFormat="false" ht="15" hidden="false" customHeight="true" outlineLevel="0" collapsed="false">
      <c r="A264" s="1" t="str">
        <f aca="false">cleaned_data!A262</f>
        <v>STR-1066</v>
      </c>
      <c r="B264" s="3" t="n">
        <f aca="false">cleaned_data!B262</f>
        <v>45658</v>
      </c>
      <c r="C264" s="1" t="str">
        <f aca="false">cleaned_data!D262</f>
        <v>High Street</v>
      </c>
      <c r="D264" s="1" t="str">
        <f aca="false">cleaned_data!C262</f>
        <v>West</v>
      </c>
      <c r="E264" s="24" t="n">
        <f aca="false">cleaned_data!M262</f>
        <v>528852.62</v>
      </c>
      <c r="F264" s="24" t="n">
        <f aca="false">multiple_regression!B343+multiple_regression!B331*cleaned_data!F262+multiple_regression!B332*cleaned_data!E262+multiple_regression!B333*cleaned_data!H262+multiple_regression!B334*cleaned_data!I262+multiple_regression!B335*cleaned_data!G262+multiple_regression!B336*cleaned_data!K262+multiple_regression!B337*dummy_variables!E265+multiple_regression!B338*dummy_variables!F265+multiple_regression!B339*dummy_variables!G265+multiple_regression!B340*dummy_variables!H265+multiple_regression!B341*dummy_variables!I265+multiple_regression!B342*dummy_variables!J265</f>
        <v>526892.704285627</v>
      </c>
      <c r="G264" s="24" t="n">
        <f aca="false">E264-F264</f>
        <v>1959.915714373</v>
      </c>
    </row>
    <row r="265" customFormat="false" ht="15" hidden="false" customHeight="true" outlineLevel="0" collapsed="false">
      <c r="A265" s="1" t="str">
        <f aca="false">cleaned_data!A263</f>
        <v>STR-1066</v>
      </c>
      <c r="B265" s="3" t="n">
        <f aca="false">cleaned_data!B263</f>
        <v>45689</v>
      </c>
      <c r="C265" s="1" t="str">
        <f aca="false">cleaned_data!D263</f>
        <v>High Street</v>
      </c>
      <c r="D265" s="1" t="str">
        <f aca="false">cleaned_data!C263</f>
        <v>West</v>
      </c>
      <c r="E265" s="24" t="n">
        <f aca="false">cleaned_data!M263</f>
        <v>605751.33</v>
      </c>
      <c r="F265" s="24" t="n">
        <f aca="false">multiple_regression!B343+multiple_regression!B331*cleaned_data!F263+multiple_regression!B332*cleaned_data!E263+multiple_regression!B333*cleaned_data!H263+multiple_regression!B334*cleaned_data!I263+multiple_regression!B335*cleaned_data!G263+multiple_regression!B336*cleaned_data!K263+multiple_regression!B337*dummy_variables!E266+multiple_regression!B338*dummy_variables!F266+multiple_regression!B339*dummy_variables!G266+multiple_regression!B340*dummy_variables!H266+multiple_regression!B341*dummy_variables!I266+multiple_regression!B342*dummy_variables!J266</f>
        <v>606989.116182162</v>
      </c>
      <c r="G265" s="24" t="n">
        <f aca="false">E265-F265</f>
        <v>-1237.78618216247</v>
      </c>
    </row>
    <row r="266" customFormat="false" ht="15" hidden="false" customHeight="true" outlineLevel="0" collapsed="false">
      <c r="A266" s="1" t="str">
        <f aca="false">cleaned_data!A264</f>
        <v>STR-1066</v>
      </c>
      <c r="B266" s="3" t="n">
        <f aca="false">cleaned_data!B264</f>
        <v>45717</v>
      </c>
      <c r="C266" s="1" t="str">
        <f aca="false">cleaned_data!D264</f>
        <v>High Street</v>
      </c>
      <c r="D266" s="1" t="str">
        <f aca="false">cleaned_data!C264</f>
        <v>West</v>
      </c>
      <c r="E266" s="24" t="n">
        <f aca="false">cleaned_data!M264</f>
        <v>677640.65</v>
      </c>
      <c r="F266" s="24" t="n">
        <f aca="false">multiple_regression!B343+multiple_regression!B331*cleaned_data!F264+multiple_regression!B332*cleaned_data!E264+multiple_regression!B333*cleaned_data!H264+multiple_regression!B334*cleaned_data!I264+multiple_regression!B335*cleaned_data!G264+multiple_regression!B336*cleaned_data!K264+multiple_regression!B337*dummy_variables!E267+multiple_regression!B338*dummy_variables!F267+multiple_regression!B339*dummy_variables!G267+multiple_regression!B340*dummy_variables!H267+multiple_regression!B341*dummy_variables!I267+multiple_regression!B342*dummy_variables!J267</f>
        <v>623074.569727321</v>
      </c>
      <c r="G266" s="24" t="n">
        <f aca="false">E266-F266</f>
        <v>54566.0802726793</v>
      </c>
    </row>
    <row r="267" customFormat="false" ht="15" hidden="false" customHeight="true" outlineLevel="0" collapsed="false">
      <c r="A267" s="1" t="str">
        <f aca="false">cleaned_data!A265</f>
        <v>STR-1066</v>
      </c>
      <c r="B267" s="3" t="n">
        <f aca="false">cleaned_data!B265</f>
        <v>45748</v>
      </c>
      <c r="C267" s="1" t="str">
        <f aca="false">cleaned_data!D265</f>
        <v>High Street</v>
      </c>
      <c r="D267" s="1" t="str">
        <f aca="false">cleaned_data!C265</f>
        <v>West</v>
      </c>
      <c r="E267" s="24" t="n">
        <f aca="false">cleaned_data!M265</f>
        <v>636613.23</v>
      </c>
      <c r="F267" s="24" t="n">
        <f aca="false">multiple_regression!B343+multiple_regression!B331*cleaned_data!F265+multiple_regression!B332*cleaned_data!E265+multiple_regression!B333*cleaned_data!H265+multiple_regression!B334*cleaned_data!I265+multiple_regression!B335*cleaned_data!G265+multiple_regression!B336*cleaned_data!K265+multiple_regression!B337*dummy_variables!E268+multiple_regression!B338*dummy_variables!F268+multiple_regression!B339*dummy_variables!G268+multiple_regression!B340*dummy_variables!H268+multiple_regression!B341*dummy_variables!I268+multiple_regression!B342*dummy_variables!J268</f>
        <v>617763.40861368</v>
      </c>
      <c r="G267" s="24" t="n">
        <f aca="false">E267-F267</f>
        <v>18849.8213863197</v>
      </c>
    </row>
    <row r="268" customFormat="false" ht="15" hidden="false" customHeight="true" outlineLevel="0" collapsed="false">
      <c r="A268" s="1" t="str">
        <f aca="false">cleaned_data!A266</f>
        <v>STR-1067</v>
      </c>
      <c r="B268" s="3" t="n">
        <f aca="false">cleaned_data!B266</f>
        <v>45658</v>
      </c>
      <c r="C268" s="1" t="str">
        <f aca="false">cleaned_data!D266</f>
        <v>High Street</v>
      </c>
      <c r="D268" s="1" t="str">
        <f aca="false">cleaned_data!C266</f>
        <v>East</v>
      </c>
      <c r="E268" s="24" t="n">
        <f aca="false">cleaned_data!M266</f>
        <v>708985.19</v>
      </c>
      <c r="F268" s="24" t="n">
        <f aca="false">multiple_regression!B343+multiple_regression!B331*cleaned_data!F266+multiple_regression!B332*cleaned_data!E266+multiple_regression!B333*cleaned_data!H266+multiple_regression!B334*cleaned_data!I266+multiple_regression!B335*cleaned_data!G266+multiple_regression!B336*cleaned_data!K266+multiple_regression!B337*dummy_variables!E269+multiple_regression!B338*dummy_variables!F269+multiple_regression!B339*dummy_variables!G269+multiple_regression!B340*dummy_variables!H269+multiple_regression!B341*dummy_variables!I269+multiple_regression!B342*dummy_variables!J269</f>
        <v>711967.549651443</v>
      </c>
      <c r="G268" s="24" t="n">
        <f aca="false">E268-F268</f>
        <v>-2982.35965144343</v>
      </c>
    </row>
    <row r="269" customFormat="false" ht="15" hidden="false" customHeight="true" outlineLevel="0" collapsed="false">
      <c r="A269" s="1" t="str">
        <f aca="false">cleaned_data!A267</f>
        <v>STR-1067</v>
      </c>
      <c r="B269" s="3" t="n">
        <f aca="false">cleaned_data!B267</f>
        <v>45689</v>
      </c>
      <c r="C269" s="1" t="str">
        <f aca="false">cleaned_data!D267</f>
        <v>High Street</v>
      </c>
      <c r="D269" s="1" t="str">
        <f aca="false">cleaned_data!C267</f>
        <v>East</v>
      </c>
      <c r="E269" s="24" t="n">
        <f aca="false">cleaned_data!M267</f>
        <v>767792.94</v>
      </c>
      <c r="F269" s="24" t="n">
        <f aca="false">multiple_regression!B343+multiple_regression!B331*cleaned_data!F267+multiple_regression!B332*cleaned_data!E267+multiple_regression!B333*cleaned_data!H267+multiple_regression!B334*cleaned_data!I267+multiple_regression!B335*cleaned_data!G267+multiple_regression!B336*cleaned_data!K267+multiple_regression!B337*dummy_variables!E270+multiple_regression!B338*dummy_variables!F270+multiple_regression!B339*dummy_variables!G270+multiple_regression!B340*dummy_variables!H270+multiple_regression!B341*dummy_variables!I270+multiple_regression!B342*dummy_variables!J270</f>
        <v>728369.170345712</v>
      </c>
      <c r="G269" s="24" t="n">
        <f aca="false">E269-F269</f>
        <v>39423.7696542882</v>
      </c>
    </row>
    <row r="270" customFormat="false" ht="15" hidden="false" customHeight="true" outlineLevel="0" collapsed="false">
      <c r="A270" s="1" t="str">
        <f aca="false">cleaned_data!A268</f>
        <v>STR-1067</v>
      </c>
      <c r="B270" s="3" t="n">
        <f aca="false">cleaned_data!B268</f>
        <v>45717</v>
      </c>
      <c r="C270" s="1" t="str">
        <f aca="false">cleaned_data!D268</f>
        <v>High Street</v>
      </c>
      <c r="D270" s="1" t="str">
        <f aca="false">cleaned_data!C268</f>
        <v>East</v>
      </c>
      <c r="E270" s="24" t="n">
        <f aca="false">cleaned_data!M268</f>
        <v>745580.51</v>
      </c>
      <c r="F270" s="24" t="n">
        <f aca="false">multiple_regression!B343+multiple_regression!B331*cleaned_data!F268+multiple_regression!B332*cleaned_data!E268+multiple_regression!B333*cleaned_data!H268+multiple_regression!B334*cleaned_data!I268+multiple_regression!B335*cleaned_data!G268+multiple_regression!B336*cleaned_data!K268+multiple_regression!B337*dummy_variables!E271+multiple_regression!B338*dummy_variables!F271+multiple_regression!B339*dummy_variables!G271+multiple_regression!B340*dummy_variables!H271+multiple_regression!B341*dummy_variables!I271+multiple_regression!B342*dummy_variables!J271</f>
        <v>718902.740855532</v>
      </c>
      <c r="G270" s="24" t="n">
        <f aca="false">E270-F270</f>
        <v>26677.7691444685</v>
      </c>
    </row>
    <row r="271" customFormat="false" ht="15" hidden="false" customHeight="true" outlineLevel="0" collapsed="false">
      <c r="A271" s="1" t="str">
        <f aca="false">cleaned_data!A269</f>
        <v>STR-1067</v>
      </c>
      <c r="B271" s="3" t="n">
        <f aca="false">cleaned_data!B269</f>
        <v>45748</v>
      </c>
      <c r="C271" s="1" t="str">
        <f aca="false">cleaned_data!D269</f>
        <v>High Street</v>
      </c>
      <c r="D271" s="1" t="str">
        <f aca="false">cleaned_data!C269</f>
        <v>East</v>
      </c>
      <c r="E271" s="24" t="n">
        <f aca="false">cleaned_data!M269</f>
        <v>762328.31</v>
      </c>
      <c r="F271" s="24" t="n">
        <f aca="false">multiple_regression!B343+multiple_regression!B331*cleaned_data!F269+multiple_regression!B332*cleaned_data!E269+multiple_regression!B333*cleaned_data!H269+multiple_regression!B334*cleaned_data!I269+multiple_regression!B335*cleaned_data!G269+multiple_regression!B336*cleaned_data!K269+multiple_regression!B337*dummy_variables!E272+multiple_regression!B338*dummy_variables!F272+multiple_regression!B339*dummy_variables!G272+multiple_regression!B340*dummy_variables!H272+multiple_regression!B341*dummy_variables!I272+multiple_regression!B342*dummy_variables!J272</f>
        <v>714299.90769569</v>
      </c>
      <c r="G271" s="24" t="n">
        <f aca="false">E271-F271</f>
        <v>48028.4023043106</v>
      </c>
    </row>
    <row r="272" customFormat="false" ht="15" hidden="false" customHeight="true" outlineLevel="0" collapsed="false">
      <c r="A272" s="1" t="str">
        <f aca="false">cleaned_data!A270</f>
        <v>STR-1068</v>
      </c>
      <c r="B272" s="3" t="n">
        <f aca="false">cleaned_data!B270</f>
        <v>45658</v>
      </c>
      <c r="C272" s="1" t="str">
        <f aca="false">cleaned_data!D270</f>
        <v>Mall</v>
      </c>
      <c r="D272" s="1" t="str">
        <f aca="false">cleaned_data!C270</f>
        <v>East</v>
      </c>
      <c r="E272" s="24" t="n">
        <f aca="false">cleaned_data!M270</f>
        <v>660633.99</v>
      </c>
      <c r="F272" s="24" t="n">
        <f aca="false">multiple_regression!B343+multiple_regression!B331*cleaned_data!F270+multiple_regression!B332*cleaned_data!E270+multiple_regression!B333*cleaned_data!H270+multiple_regression!B334*cleaned_data!I270+multiple_regression!B335*cleaned_data!G270+multiple_regression!B336*cleaned_data!K270+multiple_regression!B337*dummy_variables!E273+multiple_regression!B338*dummy_variables!F273+multiple_regression!B339*dummy_variables!G273+multiple_regression!B340*dummy_variables!H273+multiple_regression!B341*dummy_variables!I273+multiple_regression!B342*dummy_variables!J273</f>
        <v>732090.745554296</v>
      </c>
      <c r="G272" s="24" t="n">
        <f aca="false">E272-F272</f>
        <v>-71456.7555542963</v>
      </c>
    </row>
    <row r="273" customFormat="false" ht="15" hidden="false" customHeight="true" outlineLevel="0" collapsed="false">
      <c r="A273" s="1" t="str">
        <f aca="false">cleaned_data!A271</f>
        <v>STR-1068</v>
      </c>
      <c r="B273" s="3" t="n">
        <f aca="false">cleaned_data!B271</f>
        <v>45689</v>
      </c>
      <c r="C273" s="1" t="str">
        <f aca="false">cleaned_data!D271</f>
        <v>Mall</v>
      </c>
      <c r="D273" s="1" t="str">
        <f aca="false">cleaned_data!C271</f>
        <v>East</v>
      </c>
      <c r="E273" s="24" t="n">
        <f aca="false">cleaned_data!M271</f>
        <v>739374.56</v>
      </c>
      <c r="F273" s="24" t="n">
        <f aca="false">multiple_regression!B343+multiple_regression!B331*cleaned_data!F271+multiple_regression!B332*cleaned_data!E271+multiple_regression!B333*cleaned_data!H271+multiple_regression!B334*cleaned_data!I271+multiple_regression!B335*cleaned_data!G271+multiple_regression!B336*cleaned_data!K271+multiple_regression!B337*dummy_variables!E274+multiple_regression!B338*dummy_variables!F274+multiple_regression!B339*dummy_variables!G274+multiple_regression!B340*dummy_variables!H274+multiple_regression!B341*dummy_variables!I274+multiple_regression!B342*dummy_variables!J274</f>
        <v>695030.982990505</v>
      </c>
      <c r="G273" s="24" t="n">
        <f aca="false">E273-F273</f>
        <v>44343.5770094949</v>
      </c>
    </row>
    <row r="274" customFormat="false" ht="15" hidden="false" customHeight="true" outlineLevel="0" collapsed="false">
      <c r="A274" s="1" t="str">
        <f aca="false">cleaned_data!A272</f>
        <v>STR-1068</v>
      </c>
      <c r="B274" s="3" t="n">
        <f aca="false">cleaned_data!B272</f>
        <v>45717</v>
      </c>
      <c r="C274" s="1" t="str">
        <f aca="false">cleaned_data!D272</f>
        <v>Mall</v>
      </c>
      <c r="D274" s="1" t="str">
        <f aca="false">cleaned_data!C272</f>
        <v>East</v>
      </c>
      <c r="E274" s="24" t="n">
        <f aca="false">cleaned_data!M272</f>
        <v>799756.46</v>
      </c>
      <c r="F274" s="24" t="n">
        <f aca="false">multiple_regression!B343+multiple_regression!B331*cleaned_data!F272+multiple_regression!B332*cleaned_data!E272+multiple_regression!B333*cleaned_data!H272+multiple_regression!B334*cleaned_data!I272+multiple_regression!B335*cleaned_data!G272+multiple_regression!B336*cleaned_data!K272+multiple_regression!B337*dummy_variables!E275+multiple_regression!B338*dummy_variables!F275+multiple_regression!B339*dummy_variables!G275+multiple_regression!B340*dummy_variables!H275+multiple_regression!B341*dummy_variables!I275+multiple_regression!B342*dummy_variables!J275</f>
        <v>811859.487521662</v>
      </c>
      <c r="G274" s="24" t="n">
        <f aca="false">E274-F274</f>
        <v>-12103.0275216619</v>
      </c>
    </row>
    <row r="275" customFormat="false" ht="15" hidden="false" customHeight="true" outlineLevel="0" collapsed="false">
      <c r="A275" s="1" t="str">
        <f aca="false">cleaned_data!A273</f>
        <v>STR-1068</v>
      </c>
      <c r="B275" s="3" t="n">
        <f aca="false">cleaned_data!B273</f>
        <v>45748</v>
      </c>
      <c r="C275" s="1" t="str">
        <f aca="false">cleaned_data!D273</f>
        <v>Mall</v>
      </c>
      <c r="D275" s="1" t="str">
        <f aca="false">cleaned_data!C273</f>
        <v>East</v>
      </c>
      <c r="E275" s="24" t="n">
        <f aca="false">cleaned_data!M273</f>
        <v>593343</v>
      </c>
      <c r="F275" s="24" t="n">
        <f aca="false">multiple_regression!B343+multiple_regression!B331*cleaned_data!F273+multiple_regression!B332*cleaned_data!E273+multiple_regression!B333*cleaned_data!H273+multiple_regression!B334*cleaned_data!I273+multiple_regression!B335*cleaned_data!G273+multiple_regression!B336*cleaned_data!K273+multiple_regression!B337*dummy_variables!E276+multiple_regression!B338*dummy_variables!F276+multiple_regression!B339*dummy_variables!G276+multiple_regression!B340*dummy_variables!H276+multiple_regression!B341*dummy_variables!I276+multiple_regression!B342*dummy_variables!J276</f>
        <v>663061.077658805</v>
      </c>
      <c r="G275" s="24" t="n">
        <f aca="false">E275-F275</f>
        <v>-69718.0776588051</v>
      </c>
    </row>
    <row r="276" customFormat="false" ht="15" hidden="false" customHeight="true" outlineLevel="0" collapsed="false">
      <c r="A276" s="1" t="str">
        <f aca="false">cleaned_data!A274</f>
        <v>STR-1069</v>
      </c>
      <c r="B276" s="3" t="n">
        <f aca="false">cleaned_data!B274</f>
        <v>45658</v>
      </c>
      <c r="C276" s="1" t="str">
        <f aca="false">cleaned_data!D274</f>
        <v>High Street</v>
      </c>
      <c r="D276" s="1" t="str">
        <f aca="false">cleaned_data!C274</f>
        <v>West</v>
      </c>
      <c r="E276" s="24" t="n">
        <f aca="false">cleaned_data!M274</f>
        <v>645039.97</v>
      </c>
      <c r="F276" s="24" t="n">
        <f aca="false">multiple_regression!B343+multiple_regression!B331*cleaned_data!F274+multiple_regression!B332*cleaned_data!E274+multiple_regression!B333*cleaned_data!H274+multiple_regression!B334*cleaned_data!I274+multiple_regression!B335*cleaned_data!G274+multiple_regression!B336*cleaned_data!K274+multiple_regression!B337*dummy_variables!E277+multiple_regression!B338*dummy_variables!F277+multiple_regression!B339*dummy_variables!G277+multiple_regression!B340*dummy_variables!H277+multiple_regression!B341*dummy_variables!I277+multiple_regression!B342*dummy_variables!J277</f>
        <v>653489.756980983</v>
      </c>
      <c r="G276" s="24" t="n">
        <f aca="false">E276-F276</f>
        <v>-8449.78698098252</v>
      </c>
    </row>
    <row r="277" customFormat="false" ht="15" hidden="false" customHeight="true" outlineLevel="0" collapsed="false">
      <c r="A277" s="1" t="str">
        <f aca="false">cleaned_data!A275</f>
        <v>STR-1069</v>
      </c>
      <c r="B277" s="3" t="n">
        <f aca="false">cleaned_data!B275</f>
        <v>45689</v>
      </c>
      <c r="C277" s="1" t="str">
        <f aca="false">cleaned_data!D275</f>
        <v>High Street</v>
      </c>
      <c r="D277" s="1" t="str">
        <f aca="false">cleaned_data!C275</f>
        <v>West</v>
      </c>
      <c r="E277" s="24" t="n">
        <f aca="false">cleaned_data!M275</f>
        <v>561597.33</v>
      </c>
      <c r="F277" s="24" t="n">
        <f aca="false">multiple_regression!B343+multiple_regression!B331*cleaned_data!F275+multiple_regression!B332*cleaned_data!E275+multiple_regression!B333*cleaned_data!H275+multiple_regression!B334*cleaned_data!I275+multiple_regression!B335*cleaned_data!G275+multiple_regression!B336*cleaned_data!K275+multiple_regression!B337*dummy_variables!E278+multiple_regression!B338*dummy_variables!F278+multiple_regression!B339*dummy_variables!G278+multiple_regression!B340*dummy_variables!H278+multiple_regression!B341*dummy_variables!I278+multiple_regression!B342*dummy_variables!J278</f>
        <v>542752.885846655</v>
      </c>
      <c r="G277" s="24" t="n">
        <f aca="false">E277-F277</f>
        <v>18844.4441533446</v>
      </c>
    </row>
    <row r="278" customFormat="false" ht="15" hidden="false" customHeight="true" outlineLevel="0" collapsed="false">
      <c r="A278" s="1" t="str">
        <f aca="false">cleaned_data!A276</f>
        <v>STR-1069</v>
      </c>
      <c r="B278" s="3" t="n">
        <f aca="false">cleaned_data!B276</f>
        <v>45717</v>
      </c>
      <c r="C278" s="1" t="str">
        <f aca="false">cleaned_data!D276</f>
        <v>High Street</v>
      </c>
      <c r="D278" s="1" t="str">
        <f aca="false">cleaned_data!C276</f>
        <v>West</v>
      </c>
      <c r="E278" s="24" t="n">
        <f aca="false">cleaned_data!M276</f>
        <v>635837.74</v>
      </c>
      <c r="F278" s="24" t="n">
        <f aca="false">multiple_regression!B343+multiple_regression!B331*cleaned_data!F276+multiple_regression!B332*cleaned_data!E276+multiple_regression!B333*cleaned_data!H276+multiple_regression!B334*cleaned_data!I276+multiple_regression!B335*cleaned_data!G276+multiple_regression!B336*cleaned_data!K276+multiple_regression!B337*dummy_variables!E279+multiple_regression!B338*dummy_variables!F279+multiple_regression!B339*dummy_variables!G279+multiple_regression!B340*dummy_variables!H279+multiple_regression!B341*dummy_variables!I279+multiple_regression!B342*dummy_variables!J279</f>
        <v>660648.226848839</v>
      </c>
      <c r="G278" s="24" t="n">
        <f aca="false">E278-F278</f>
        <v>-24810.4868488392</v>
      </c>
    </row>
    <row r="279" customFormat="false" ht="15" hidden="false" customHeight="true" outlineLevel="0" collapsed="false">
      <c r="A279" s="1" t="str">
        <f aca="false">cleaned_data!A277</f>
        <v>STR-1069</v>
      </c>
      <c r="B279" s="3" t="n">
        <f aca="false">cleaned_data!B277</f>
        <v>45748</v>
      </c>
      <c r="C279" s="1" t="str">
        <f aca="false">cleaned_data!D277</f>
        <v>High Street</v>
      </c>
      <c r="D279" s="1" t="str">
        <f aca="false">cleaned_data!C277</f>
        <v>West</v>
      </c>
      <c r="E279" s="24" t="n">
        <f aca="false">cleaned_data!M277</f>
        <v>686737.87</v>
      </c>
      <c r="F279" s="24" t="n">
        <f aca="false">multiple_regression!B343+multiple_regression!B331*cleaned_data!F277+multiple_regression!B332*cleaned_data!E277+multiple_regression!B333*cleaned_data!H277+multiple_regression!B334*cleaned_data!I277+multiple_regression!B335*cleaned_data!G277+multiple_regression!B336*cleaned_data!K277+multiple_regression!B337*dummy_variables!E280+multiple_regression!B338*dummy_variables!F280+multiple_regression!B339*dummy_variables!G280+multiple_regression!B340*dummy_variables!H280+multiple_regression!B341*dummy_variables!I280+multiple_regression!B342*dummy_variables!J280</f>
        <v>614127.862951101</v>
      </c>
      <c r="G279" s="24" t="n">
        <f aca="false">E279-F279</f>
        <v>72610.0070488995</v>
      </c>
    </row>
    <row r="280" customFormat="false" ht="15" hidden="false" customHeight="true" outlineLevel="0" collapsed="false">
      <c r="A280" s="1" t="str">
        <f aca="false">cleaned_data!A278</f>
        <v>STR-1070</v>
      </c>
      <c r="B280" s="3" t="n">
        <f aca="false">cleaned_data!B278</f>
        <v>45658</v>
      </c>
      <c r="C280" s="1" t="str">
        <f aca="false">cleaned_data!D278</f>
        <v>Residential</v>
      </c>
      <c r="D280" s="1" t="str">
        <f aca="false">cleaned_data!C278</f>
        <v>South</v>
      </c>
      <c r="E280" s="24" t="n">
        <f aca="false">cleaned_data!M278</f>
        <v>673076.34</v>
      </c>
      <c r="F280" s="24" t="n">
        <f aca="false">multiple_regression!B343+multiple_regression!B331*cleaned_data!F278+multiple_regression!B332*cleaned_data!E278+multiple_regression!B333*cleaned_data!H278+multiple_regression!B334*cleaned_data!I278+multiple_regression!B335*cleaned_data!G278+multiple_regression!B336*cleaned_data!K278+multiple_regression!B337*dummy_variables!E281+multiple_regression!B338*dummy_variables!F281+multiple_regression!B339*dummy_variables!G281+multiple_regression!B340*dummy_variables!H281+multiple_regression!B341*dummy_variables!I281+multiple_regression!B342*dummy_variables!J281</f>
        <v>746668.72020083</v>
      </c>
      <c r="G280" s="24" t="n">
        <f aca="false">E280-F280</f>
        <v>-73592.3802008297</v>
      </c>
    </row>
    <row r="281" customFormat="false" ht="15" hidden="false" customHeight="true" outlineLevel="0" collapsed="false">
      <c r="A281" s="1" t="str">
        <f aca="false">cleaned_data!A279</f>
        <v>STR-1070</v>
      </c>
      <c r="B281" s="3" t="n">
        <f aca="false">cleaned_data!B279</f>
        <v>45689</v>
      </c>
      <c r="C281" s="1" t="str">
        <f aca="false">cleaned_data!D279</f>
        <v>Residential</v>
      </c>
      <c r="D281" s="1" t="str">
        <f aca="false">cleaned_data!C279</f>
        <v>South</v>
      </c>
      <c r="E281" s="24" t="n">
        <f aca="false">cleaned_data!M279</f>
        <v>738548.42</v>
      </c>
      <c r="F281" s="24" t="n">
        <f aca="false">multiple_regression!B343+multiple_regression!B331*cleaned_data!F279+multiple_regression!B332*cleaned_data!E279+multiple_regression!B333*cleaned_data!H279+multiple_regression!B334*cleaned_data!I279+multiple_regression!B335*cleaned_data!G279+multiple_regression!B336*cleaned_data!K279+multiple_regression!B337*dummy_variables!E282+multiple_regression!B338*dummy_variables!F282+multiple_regression!B339*dummy_variables!G282+multiple_regression!B340*dummy_variables!H282+multiple_regression!B341*dummy_variables!I282+multiple_regression!B342*dummy_variables!J282</f>
        <v>702403.733029969</v>
      </c>
      <c r="G281" s="24" t="n">
        <f aca="false">E281-F281</f>
        <v>36144.6869700311</v>
      </c>
    </row>
    <row r="282" customFormat="false" ht="15" hidden="false" customHeight="true" outlineLevel="0" collapsed="false">
      <c r="A282" s="1" t="str">
        <f aca="false">cleaned_data!A280</f>
        <v>STR-1070</v>
      </c>
      <c r="B282" s="3" t="n">
        <f aca="false">cleaned_data!B280</f>
        <v>45717</v>
      </c>
      <c r="C282" s="1" t="str">
        <f aca="false">cleaned_data!D280</f>
        <v>Residential</v>
      </c>
      <c r="D282" s="1" t="str">
        <f aca="false">cleaned_data!C280</f>
        <v>South</v>
      </c>
      <c r="E282" s="24" t="n">
        <f aca="false">cleaned_data!M280</f>
        <v>756619.77</v>
      </c>
      <c r="F282" s="24" t="n">
        <f aca="false">multiple_regression!B343+multiple_regression!B331*cleaned_data!F280+multiple_regression!B332*cleaned_data!E280+multiple_regression!B333*cleaned_data!H280+multiple_regression!B334*cleaned_data!I280+multiple_regression!B335*cleaned_data!G280+multiple_regression!B336*cleaned_data!K280+multiple_regression!B337*dummy_variables!E283+multiple_regression!B338*dummy_variables!F283+multiple_regression!B339*dummy_variables!G283+multiple_regression!B340*dummy_variables!H283+multiple_regression!B341*dummy_variables!I283+multiple_regression!B342*dummy_variables!J283</f>
        <v>732727.374341971</v>
      </c>
      <c r="G282" s="24" t="n">
        <f aca="false">E282-F282</f>
        <v>23892.3956580287</v>
      </c>
    </row>
    <row r="283" customFormat="false" ht="15" hidden="false" customHeight="true" outlineLevel="0" collapsed="false">
      <c r="A283" s="1" t="str">
        <f aca="false">cleaned_data!A281</f>
        <v>STR-1070</v>
      </c>
      <c r="B283" s="3" t="n">
        <f aca="false">cleaned_data!B281</f>
        <v>45748</v>
      </c>
      <c r="C283" s="1" t="str">
        <f aca="false">cleaned_data!D281</f>
        <v>Residential</v>
      </c>
      <c r="D283" s="1" t="str">
        <f aca="false">cleaned_data!C281</f>
        <v>South</v>
      </c>
      <c r="E283" s="24" t="n">
        <f aca="false">cleaned_data!M281</f>
        <v>761122.42</v>
      </c>
      <c r="F283" s="24" t="n">
        <f aca="false">multiple_regression!B343+multiple_regression!B331*cleaned_data!F281+multiple_regression!B332*cleaned_data!E281+multiple_regression!B333*cleaned_data!H281+multiple_regression!B334*cleaned_data!I281+multiple_regression!B335*cleaned_data!G281+multiple_regression!B336*cleaned_data!K281+multiple_regression!B337*dummy_variables!E284+multiple_regression!B338*dummy_variables!F284+multiple_regression!B339*dummy_variables!G284+multiple_regression!B340*dummy_variables!H284+multiple_regression!B341*dummy_variables!I284+multiple_regression!B342*dummy_variables!J284</f>
        <v>778791.261918625</v>
      </c>
      <c r="G283" s="24" t="n">
        <f aca="false">E283-F283</f>
        <v>-17668.8419186245</v>
      </c>
    </row>
    <row r="284" customFormat="false" ht="15" hidden="false" customHeight="true" outlineLevel="0" collapsed="false">
      <c r="A284" s="1" t="str">
        <f aca="false">cleaned_data!A282</f>
        <v>STR-1071</v>
      </c>
      <c r="B284" s="3" t="n">
        <f aca="false">cleaned_data!B282</f>
        <v>45658</v>
      </c>
      <c r="C284" s="1" t="str">
        <f aca="false">cleaned_data!D282</f>
        <v>High Street</v>
      </c>
      <c r="D284" s="1" t="str">
        <f aca="false">cleaned_data!C282</f>
        <v>South</v>
      </c>
      <c r="E284" s="24" t="n">
        <f aca="false">cleaned_data!M282</f>
        <v>524899.57</v>
      </c>
      <c r="F284" s="24" t="n">
        <f aca="false">multiple_regression!B343+multiple_regression!B331*cleaned_data!F282+multiple_regression!B332*cleaned_data!E282+multiple_regression!B333*cleaned_data!H282+multiple_regression!B334*cleaned_data!I282+multiple_regression!B335*cleaned_data!G282+multiple_regression!B336*cleaned_data!K282+multiple_regression!B337*dummy_variables!E285+multiple_regression!B338*dummy_variables!F285+multiple_regression!B339*dummy_variables!G285+multiple_regression!B340*dummy_variables!H285+multiple_regression!B341*dummy_variables!I285+multiple_regression!B342*dummy_variables!J285</f>
        <v>587638.603479154</v>
      </c>
      <c r="G284" s="24" t="n">
        <f aca="false">E284-F284</f>
        <v>-62739.0334791539</v>
      </c>
    </row>
    <row r="285" customFormat="false" ht="15" hidden="false" customHeight="true" outlineLevel="0" collapsed="false">
      <c r="A285" s="1" t="str">
        <f aca="false">cleaned_data!A283</f>
        <v>STR-1071</v>
      </c>
      <c r="B285" s="3" t="n">
        <f aca="false">cleaned_data!B283</f>
        <v>45689</v>
      </c>
      <c r="C285" s="1" t="str">
        <f aca="false">cleaned_data!D283</f>
        <v>High Street</v>
      </c>
      <c r="D285" s="1" t="str">
        <f aca="false">cleaned_data!C283</f>
        <v>South</v>
      </c>
      <c r="E285" s="24" t="n">
        <f aca="false">cleaned_data!M283</f>
        <v>555557.77</v>
      </c>
      <c r="F285" s="24" t="n">
        <f aca="false">multiple_regression!B343+multiple_regression!B331*cleaned_data!F283+multiple_regression!B332*cleaned_data!E283+multiple_regression!B333*cleaned_data!H283+multiple_regression!B334*cleaned_data!I283+multiple_regression!B335*cleaned_data!G283+multiple_regression!B336*cleaned_data!K283+multiple_regression!B337*dummy_variables!E286+multiple_regression!B338*dummy_variables!F286+multiple_regression!B339*dummy_variables!G286+multiple_regression!B340*dummy_variables!H286+multiple_regression!B341*dummy_variables!I286+multiple_regression!B342*dummy_variables!J286</f>
        <v>598785.098737826</v>
      </c>
      <c r="G285" s="24" t="n">
        <f aca="false">E285-F285</f>
        <v>-43227.3287378257</v>
      </c>
    </row>
    <row r="286" customFormat="false" ht="15" hidden="false" customHeight="true" outlineLevel="0" collapsed="false">
      <c r="A286" s="1" t="str">
        <f aca="false">cleaned_data!A284</f>
        <v>STR-1071</v>
      </c>
      <c r="B286" s="3" t="n">
        <f aca="false">cleaned_data!B284</f>
        <v>45717</v>
      </c>
      <c r="C286" s="1" t="str">
        <f aca="false">cleaned_data!D284</f>
        <v>High Street</v>
      </c>
      <c r="D286" s="1" t="str">
        <f aca="false">cleaned_data!C284</f>
        <v>South</v>
      </c>
      <c r="E286" s="24" t="n">
        <f aca="false">cleaned_data!M284</f>
        <v>714083.68</v>
      </c>
      <c r="F286" s="24" t="n">
        <f aca="false">multiple_regression!B343+multiple_regression!B331*cleaned_data!F284+multiple_regression!B332*cleaned_data!E284+multiple_regression!B333*cleaned_data!H284+multiple_regression!B334*cleaned_data!I284+multiple_regression!B335*cleaned_data!G284+multiple_regression!B336*cleaned_data!K284+multiple_regression!B337*dummy_variables!E287+multiple_regression!B338*dummy_variables!F287+multiple_regression!B339*dummy_variables!G287+multiple_regression!B340*dummy_variables!H287+multiple_regression!B341*dummy_variables!I287+multiple_regression!B342*dummy_variables!J287</f>
        <v>702933.089192886</v>
      </c>
      <c r="G286" s="24" t="n">
        <f aca="false">E286-F286</f>
        <v>11150.5908071141</v>
      </c>
    </row>
    <row r="287" customFormat="false" ht="15" hidden="false" customHeight="true" outlineLevel="0" collapsed="false">
      <c r="A287" s="1" t="str">
        <f aca="false">cleaned_data!A285</f>
        <v>STR-1071</v>
      </c>
      <c r="B287" s="3" t="n">
        <f aca="false">cleaned_data!B285</f>
        <v>45748</v>
      </c>
      <c r="C287" s="1" t="str">
        <f aca="false">cleaned_data!D285</f>
        <v>High Street</v>
      </c>
      <c r="D287" s="1" t="str">
        <f aca="false">cleaned_data!C285</f>
        <v>South</v>
      </c>
      <c r="E287" s="24" t="n">
        <f aca="false">cleaned_data!M285</f>
        <v>497439.82</v>
      </c>
      <c r="F287" s="24" t="n">
        <f aca="false">multiple_regression!B343+multiple_regression!B331*cleaned_data!F285+multiple_regression!B332*cleaned_data!E285+multiple_regression!B333*cleaned_data!H285+multiple_regression!B334*cleaned_data!I285+multiple_regression!B335*cleaned_data!G285+multiple_regression!B336*cleaned_data!K285+multiple_regression!B337*dummy_variables!E288+multiple_regression!B338*dummy_variables!F288+multiple_regression!B339*dummy_variables!G288+multiple_regression!B340*dummy_variables!H288+multiple_regression!B341*dummy_variables!I288+multiple_regression!B342*dummy_variables!J288</f>
        <v>506071.379836055</v>
      </c>
      <c r="G287" s="24" t="n">
        <f aca="false">E287-F287</f>
        <v>-8631.55983605509</v>
      </c>
    </row>
    <row r="288" customFormat="false" ht="15" hidden="false" customHeight="true" outlineLevel="0" collapsed="false">
      <c r="A288" s="1" t="str">
        <f aca="false">cleaned_data!A286</f>
        <v>STR-1072</v>
      </c>
      <c r="B288" s="3" t="n">
        <f aca="false">cleaned_data!B286</f>
        <v>45658</v>
      </c>
      <c r="C288" s="1" t="str">
        <f aca="false">cleaned_data!D286</f>
        <v>Residential</v>
      </c>
      <c r="D288" s="1" t="str">
        <f aca="false">cleaned_data!C286</f>
        <v>West</v>
      </c>
      <c r="E288" s="24" t="n">
        <f aca="false">cleaned_data!M286</f>
        <v>636775.66</v>
      </c>
      <c r="F288" s="24" t="n">
        <f aca="false">multiple_regression!B343+multiple_regression!B331*cleaned_data!F286+multiple_regression!B332*cleaned_data!E286+multiple_regression!B333*cleaned_data!H286+multiple_regression!B334*cleaned_data!I286+multiple_regression!B335*cleaned_data!G286+multiple_regression!B336*cleaned_data!K286+multiple_regression!B337*dummy_variables!E289+multiple_regression!B338*dummy_variables!F289+multiple_regression!B339*dummy_variables!G289+multiple_regression!B340*dummy_variables!H289+multiple_regression!B341*dummy_variables!I289+multiple_regression!B342*dummy_variables!J289</f>
        <v>651515.191987681</v>
      </c>
      <c r="G288" s="24" t="n">
        <f aca="false">E288-F288</f>
        <v>-14739.5319876811</v>
      </c>
    </row>
    <row r="289" customFormat="false" ht="15" hidden="false" customHeight="true" outlineLevel="0" collapsed="false">
      <c r="A289" s="1" t="str">
        <f aca="false">cleaned_data!A287</f>
        <v>STR-1072</v>
      </c>
      <c r="B289" s="3" t="n">
        <f aca="false">cleaned_data!B287</f>
        <v>45689</v>
      </c>
      <c r="C289" s="1" t="str">
        <f aca="false">cleaned_data!D287</f>
        <v>Residential</v>
      </c>
      <c r="D289" s="1" t="str">
        <f aca="false">cleaned_data!C287</f>
        <v>West</v>
      </c>
      <c r="E289" s="24" t="n">
        <f aca="false">cleaned_data!M287</f>
        <v>633009.53</v>
      </c>
      <c r="F289" s="24" t="n">
        <f aca="false">multiple_regression!B343+multiple_regression!B331*cleaned_data!F287+multiple_regression!B332*cleaned_data!E287+multiple_regression!B333*cleaned_data!H287+multiple_regression!B334*cleaned_data!I287+multiple_regression!B335*cleaned_data!G287+multiple_regression!B336*cleaned_data!K287+multiple_regression!B337*dummy_variables!E290+multiple_regression!B338*dummy_variables!F290+multiple_regression!B339*dummy_variables!G290+multiple_regression!B340*dummy_variables!H290+multiple_regression!B341*dummy_variables!I290+multiple_regression!B342*dummy_variables!J290</f>
        <v>618663.68545856</v>
      </c>
      <c r="G289" s="24" t="n">
        <f aca="false">E289-F289</f>
        <v>14345.84454144</v>
      </c>
    </row>
    <row r="290" customFormat="false" ht="15" hidden="false" customHeight="true" outlineLevel="0" collapsed="false">
      <c r="A290" s="1" t="str">
        <f aca="false">cleaned_data!A288</f>
        <v>STR-1072</v>
      </c>
      <c r="B290" s="3" t="n">
        <f aca="false">cleaned_data!B288</f>
        <v>45717</v>
      </c>
      <c r="C290" s="1" t="str">
        <f aca="false">cleaned_data!D288</f>
        <v>Residential</v>
      </c>
      <c r="D290" s="1" t="str">
        <f aca="false">cleaned_data!C288</f>
        <v>West</v>
      </c>
      <c r="E290" s="24" t="n">
        <f aca="false">cleaned_data!M288</f>
        <v>609949</v>
      </c>
      <c r="F290" s="24" t="n">
        <f aca="false">multiple_regression!B343+multiple_regression!B331*cleaned_data!F288+multiple_regression!B332*cleaned_data!E288+multiple_regression!B333*cleaned_data!H288+multiple_regression!B334*cleaned_data!I288+multiple_regression!B335*cleaned_data!G288+multiple_regression!B336*cleaned_data!K288+multiple_regression!B337*dummy_variables!E291+multiple_regression!B338*dummy_variables!F291+multiple_regression!B339*dummy_variables!G291+multiple_regression!B340*dummy_variables!H291+multiple_regression!B341*dummy_variables!I291+multiple_regression!B342*dummy_variables!J291</f>
        <v>609340.016335831</v>
      </c>
      <c r="G290" s="24" t="n">
        <f aca="false">E290-F290</f>
        <v>608.983664168743</v>
      </c>
    </row>
    <row r="291" customFormat="false" ht="15" hidden="false" customHeight="true" outlineLevel="0" collapsed="false">
      <c r="A291" s="1" t="str">
        <f aca="false">cleaned_data!A289</f>
        <v>STR-1072</v>
      </c>
      <c r="B291" s="3" t="n">
        <f aca="false">cleaned_data!B289</f>
        <v>45748</v>
      </c>
      <c r="C291" s="1" t="str">
        <f aca="false">cleaned_data!D289</f>
        <v>Residential</v>
      </c>
      <c r="D291" s="1" t="str">
        <f aca="false">cleaned_data!C289</f>
        <v>West</v>
      </c>
      <c r="E291" s="24" t="n">
        <f aca="false">cleaned_data!M289</f>
        <v>548103.7</v>
      </c>
      <c r="F291" s="24" t="n">
        <f aca="false">multiple_regression!B343+multiple_regression!B331*cleaned_data!F289+multiple_regression!B332*cleaned_data!E289+multiple_regression!B333*cleaned_data!H289+multiple_regression!B334*cleaned_data!I289+multiple_regression!B335*cleaned_data!G289+multiple_regression!B336*cleaned_data!K289+multiple_regression!B337*dummy_variables!E292+multiple_regression!B338*dummy_variables!F292+multiple_regression!B339*dummy_variables!G292+multiple_regression!B340*dummy_variables!H292+multiple_regression!B341*dummy_variables!I292+multiple_regression!B342*dummy_variables!J292</f>
        <v>551981.967387683</v>
      </c>
      <c r="G291" s="24" t="n">
        <f aca="false">E291-F291</f>
        <v>-3878.26738768339</v>
      </c>
    </row>
    <row r="292" customFormat="false" ht="15" hidden="false" customHeight="true" outlineLevel="0" collapsed="false">
      <c r="A292" s="1" t="str">
        <f aca="false">cleaned_data!A290</f>
        <v>STR-1073</v>
      </c>
      <c r="B292" s="3" t="n">
        <f aca="false">cleaned_data!B290</f>
        <v>45658</v>
      </c>
      <c r="C292" s="1" t="str">
        <f aca="false">cleaned_data!D290</f>
        <v>Residential</v>
      </c>
      <c r="D292" s="1" t="str">
        <f aca="false">cleaned_data!C290</f>
        <v>East</v>
      </c>
      <c r="E292" s="24" t="n">
        <f aca="false">cleaned_data!M290</f>
        <v>729424.42</v>
      </c>
      <c r="F292" s="24" t="n">
        <f aca="false">multiple_regression!B343+multiple_regression!B331*cleaned_data!F290+multiple_regression!B332*cleaned_data!E290+multiple_regression!B333*cleaned_data!H290+multiple_regression!B334*cleaned_data!I290+multiple_regression!B335*cleaned_data!G290+multiple_regression!B336*cleaned_data!K290+multiple_regression!B337*dummy_variables!E293+multiple_regression!B338*dummy_variables!F293+multiple_regression!B339*dummy_variables!G293+multiple_regression!B340*dummy_variables!H293+multiple_regression!B341*dummy_variables!I293+multiple_regression!B342*dummy_variables!J293</f>
        <v>685133.706128433</v>
      </c>
      <c r="G292" s="24" t="n">
        <f aca="false">E292-F292</f>
        <v>44290.7138715674</v>
      </c>
    </row>
    <row r="293" customFormat="false" ht="15" hidden="false" customHeight="true" outlineLevel="0" collapsed="false">
      <c r="A293" s="1" t="str">
        <f aca="false">cleaned_data!A291</f>
        <v>STR-1073</v>
      </c>
      <c r="B293" s="3" t="n">
        <f aca="false">cleaned_data!B291</f>
        <v>45689</v>
      </c>
      <c r="C293" s="1" t="str">
        <f aca="false">cleaned_data!D291</f>
        <v>Residential</v>
      </c>
      <c r="D293" s="1" t="str">
        <f aca="false">cleaned_data!C291</f>
        <v>East</v>
      </c>
      <c r="E293" s="24" t="n">
        <f aca="false">cleaned_data!M291</f>
        <v>696261.49</v>
      </c>
      <c r="F293" s="24" t="n">
        <f aca="false">multiple_regression!B343+multiple_regression!B331*cleaned_data!F291+multiple_regression!B332*cleaned_data!E291+multiple_regression!B333*cleaned_data!H291+multiple_regression!B334*cleaned_data!I291+multiple_regression!B335*cleaned_data!G291+multiple_regression!B336*cleaned_data!K291+multiple_regression!B337*dummy_variables!E294+multiple_regression!B338*dummy_variables!F294+multiple_regression!B339*dummy_variables!G294+multiple_regression!B340*dummy_variables!H294+multiple_regression!B341*dummy_variables!I294+multiple_regression!B342*dummy_variables!J294</f>
        <v>709796.779066746</v>
      </c>
      <c r="G293" s="24" t="n">
        <f aca="false">E293-F293</f>
        <v>-13535.2890667459</v>
      </c>
    </row>
    <row r="294" customFormat="false" ht="15" hidden="false" customHeight="true" outlineLevel="0" collapsed="false">
      <c r="A294" s="1" t="str">
        <f aca="false">cleaned_data!A292</f>
        <v>STR-1073</v>
      </c>
      <c r="B294" s="3" t="n">
        <f aca="false">cleaned_data!B292</f>
        <v>45717</v>
      </c>
      <c r="C294" s="1" t="str">
        <f aca="false">cleaned_data!D292</f>
        <v>Residential</v>
      </c>
      <c r="D294" s="1" t="str">
        <f aca="false">cleaned_data!C292</f>
        <v>East</v>
      </c>
      <c r="E294" s="24" t="n">
        <f aca="false">cleaned_data!M292</f>
        <v>813316.71</v>
      </c>
      <c r="F294" s="24" t="n">
        <f aca="false">multiple_regression!B343+multiple_regression!B331*cleaned_data!F292+multiple_regression!B332*cleaned_data!E292+multiple_regression!B333*cleaned_data!H292+multiple_regression!B334*cleaned_data!I292+multiple_regression!B335*cleaned_data!G292+multiple_regression!B336*cleaned_data!K292+multiple_regression!B337*dummy_variables!E295+multiple_regression!B338*dummy_variables!F295+multiple_regression!B339*dummy_variables!G295+multiple_regression!B340*dummy_variables!H295+multiple_regression!B341*dummy_variables!I295+multiple_regression!B342*dummy_variables!J295</f>
        <v>718008.712707184</v>
      </c>
      <c r="G294" s="24" t="n">
        <f aca="false">E294-F294</f>
        <v>95307.9972928164</v>
      </c>
    </row>
    <row r="295" customFormat="false" ht="15" hidden="false" customHeight="true" outlineLevel="0" collapsed="false">
      <c r="A295" s="1" t="str">
        <f aca="false">cleaned_data!A293</f>
        <v>STR-1073</v>
      </c>
      <c r="B295" s="3" t="n">
        <f aca="false">cleaned_data!B293</f>
        <v>45748</v>
      </c>
      <c r="C295" s="1" t="str">
        <f aca="false">cleaned_data!D293</f>
        <v>Residential</v>
      </c>
      <c r="D295" s="1" t="str">
        <f aca="false">cleaned_data!C293</f>
        <v>East</v>
      </c>
      <c r="E295" s="24" t="n">
        <f aca="false">cleaned_data!M293</f>
        <v>702068.92</v>
      </c>
      <c r="F295" s="24" t="n">
        <f aca="false">multiple_regression!B343+multiple_regression!B331*cleaned_data!F293+multiple_regression!B332*cleaned_data!E293+multiple_regression!B333*cleaned_data!H293+multiple_regression!B334*cleaned_data!I293+multiple_regression!B335*cleaned_data!G293+multiple_regression!B336*cleaned_data!K293+multiple_regression!B337*dummy_variables!E296+multiple_regression!B338*dummy_variables!F296+multiple_regression!B339*dummy_variables!G296+multiple_regression!B340*dummy_variables!H296+multiple_regression!B341*dummy_variables!I296+multiple_regression!B342*dummy_variables!J296</f>
        <v>689995.55309128</v>
      </c>
      <c r="G295" s="24" t="n">
        <f aca="false">E295-F295</f>
        <v>12073.3669087205</v>
      </c>
    </row>
    <row r="296" customFormat="false" ht="15" hidden="false" customHeight="true" outlineLevel="0" collapsed="false">
      <c r="A296" s="1" t="str">
        <f aca="false">cleaned_data!A294</f>
        <v>STR-1074</v>
      </c>
      <c r="B296" s="3" t="n">
        <f aca="false">cleaned_data!B294</f>
        <v>45658</v>
      </c>
      <c r="C296" s="1" t="str">
        <f aca="false">cleaned_data!D294</f>
        <v>High Street</v>
      </c>
      <c r="D296" s="1" t="str">
        <f aca="false">cleaned_data!C294</f>
        <v>West</v>
      </c>
      <c r="E296" s="24" t="n">
        <f aca="false">cleaned_data!M294</f>
        <v>546223.7</v>
      </c>
      <c r="F296" s="24" t="n">
        <f aca="false">multiple_regression!B343+multiple_regression!B331*cleaned_data!F294+multiple_regression!B332*cleaned_data!E294+multiple_regression!B333*cleaned_data!H294+multiple_regression!B334*cleaned_data!I294+multiple_regression!B335*cleaned_data!G294+multiple_regression!B336*cleaned_data!K294+multiple_regression!B337*dummy_variables!E297+multiple_regression!B338*dummy_variables!F297+multiple_regression!B339*dummy_variables!G297+multiple_regression!B340*dummy_variables!H297+multiple_regression!B341*dummy_variables!I297+multiple_regression!B342*dummy_variables!J297</f>
        <v>577164.329638984</v>
      </c>
      <c r="G296" s="24" t="n">
        <f aca="false">E296-F296</f>
        <v>-30940.6296389842</v>
      </c>
    </row>
    <row r="297" customFormat="false" ht="15" hidden="false" customHeight="true" outlineLevel="0" collapsed="false">
      <c r="A297" s="1" t="str">
        <f aca="false">cleaned_data!A295</f>
        <v>STR-1074</v>
      </c>
      <c r="B297" s="3" t="n">
        <f aca="false">cleaned_data!B295</f>
        <v>45689</v>
      </c>
      <c r="C297" s="1" t="str">
        <f aca="false">cleaned_data!D295</f>
        <v>High Street</v>
      </c>
      <c r="D297" s="1" t="str">
        <f aca="false">cleaned_data!C295</f>
        <v>West</v>
      </c>
      <c r="E297" s="24" t="n">
        <f aca="false">cleaned_data!M295</f>
        <v>533121.26</v>
      </c>
      <c r="F297" s="24" t="n">
        <f aca="false">multiple_regression!B343+multiple_regression!B331*cleaned_data!F295+multiple_regression!B332*cleaned_data!E295+multiple_regression!B333*cleaned_data!H295+multiple_regression!B334*cleaned_data!I295+multiple_regression!B335*cleaned_data!G295+multiple_regression!B336*cleaned_data!K295+multiple_regression!B337*dummy_variables!E298+multiple_regression!B338*dummy_variables!F298+multiple_regression!B339*dummy_variables!G298+multiple_regression!B340*dummy_variables!H298+multiple_regression!B341*dummy_variables!I298+multiple_regression!B342*dummy_variables!J298</f>
        <v>530063.397978813</v>
      </c>
      <c r="G297" s="24" t="n">
        <f aca="false">E297-F297</f>
        <v>3057.86202118732</v>
      </c>
    </row>
    <row r="298" customFormat="false" ht="15" hidden="false" customHeight="true" outlineLevel="0" collapsed="false">
      <c r="A298" s="1" t="str">
        <f aca="false">cleaned_data!A296</f>
        <v>STR-1074</v>
      </c>
      <c r="B298" s="3" t="n">
        <f aca="false">cleaned_data!B296</f>
        <v>45717</v>
      </c>
      <c r="C298" s="1" t="str">
        <f aca="false">cleaned_data!D296</f>
        <v>High Street</v>
      </c>
      <c r="D298" s="1" t="str">
        <f aca="false">cleaned_data!C296</f>
        <v>West</v>
      </c>
      <c r="E298" s="24" t="n">
        <f aca="false">cleaned_data!M296</f>
        <v>498970.32</v>
      </c>
      <c r="F298" s="24" t="n">
        <f aca="false">multiple_regression!B343+multiple_regression!B331*cleaned_data!F296+multiple_regression!B332*cleaned_data!E296+multiple_regression!B333*cleaned_data!H296+multiple_regression!B334*cleaned_data!I296+multiple_regression!B335*cleaned_data!G296+multiple_regression!B336*cleaned_data!K296+multiple_regression!B337*dummy_variables!E299+multiple_regression!B338*dummy_variables!F299+multiple_regression!B339*dummy_variables!G299+multiple_regression!B340*dummy_variables!H299+multiple_regression!B341*dummy_variables!I299+multiple_regression!B342*dummy_variables!J299</f>
        <v>507756.465010455</v>
      </c>
      <c r="G298" s="24" t="n">
        <f aca="false">E298-F298</f>
        <v>-8786.14501045534</v>
      </c>
    </row>
    <row r="299" customFormat="false" ht="15" hidden="false" customHeight="true" outlineLevel="0" collapsed="false">
      <c r="A299" s="1" t="str">
        <f aca="false">cleaned_data!A297</f>
        <v>STR-1074</v>
      </c>
      <c r="B299" s="3" t="n">
        <f aca="false">cleaned_data!B297</f>
        <v>45748</v>
      </c>
      <c r="C299" s="1" t="str">
        <f aca="false">cleaned_data!D297</f>
        <v>High Street</v>
      </c>
      <c r="D299" s="1" t="str">
        <f aca="false">cleaned_data!C297</f>
        <v>West</v>
      </c>
      <c r="E299" s="24" t="n">
        <f aca="false">cleaned_data!M297</f>
        <v>487738.26</v>
      </c>
      <c r="F299" s="24" t="n">
        <f aca="false">multiple_regression!B343+multiple_regression!B331*cleaned_data!F297+multiple_regression!B332*cleaned_data!E297+multiple_regression!B333*cleaned_data!H297+multiple_regression!B334*cleaned_data!I297+multiple_regression!B335*cleaned_data!G297+multiple_regression!B336*cleaned_data!K297+multiple_regression!B337*dummy_variables!E300+multiple_regression!B338*dummy_variables!F300+multiple_regression!B339*dummy_variables!G300+multiple_regression!B340*dummy_variables!H300+multiple_regression!B341*dummy_variables!I300+multiple_regression!B342*dummy_variables!J300</f>
        <v>471679.693962169</v>
      </c>
      <c r="G299" s="24" t="n">
        <f aca="false">E299-F299</f>
        <v>16058.5660378305</v>
      </c>
    </row>
    <row r="300" customFormat="false" ht="15" hidden="false" customHeight="true" outlineLevel="0" collapsed="false">
      <c r="A300" s="1" t="str">
        <f aca="false">cleaned_data!A298</f>
        <v>STR-1075</v>
      </c>
      <c r="B300" s="3" t="n">
        <f aca="false">cleaned_data!B298</f>
        <v>45658</v>
      </c>
      <c r="C300" s="1" t="str">
        <f aca="false">cleaned_data!D298</f>
        <v>High Street</v>
      </c>
      <c r="D300" s="1" t="str">
        <f aca="false">cleaned_data!C298</f>
        <v>West</v>
      </c>
      <c r="E300" s="24" t="n">
        <f aca="false">cleaned_data!M298</f>
        <v>668459.37</v>
      </c>
      <c r="F300" s="24" t="n">
        <f aca="false">multiple_regression!B343+multiple_regression!B331*cleaned_data!F298+multiple_regression!B332*cleaned_data!E298+multiple_regression!B333*cleaned_data!H298+multiple_regression!B334*cleaned_data!I298+multiple_regression!B335*cleaned_data!G298+multiple_regression!B336*cleaned_data!K298+multiple_regression!B337*dummy_variables!E301+multiple_regression!B338*dummy_variables!F301+multiple_regression!B339*dummy_variables!G301+multiple_regression!B340*dummy_variables!H301+multiple_regression!B341*dummy_variables!I301+multiple_regression!B342*dummy_variables!J301</f>
        <v>673544.479705269</v>
      </c>
      <c r="G300" s="24" t="n">
        <f aca="false">E300-F300</f>
        <v>-5085.10970526899</v>
      </c>
    </row>
    <row r="301" customFormat="false" ht="15" hidden="false" customHeight="true" outlineLevel="0" collapsed="false">
      <c r="A301" s="1" t="str">
        <f aca="false">cleaned_data!A299</f>
        <v>STR-1075</v>
      </c>
      <c r="B301" s="3" t="n">
        <f aca="false">cleaned_data!B299</f>
        <v>45689</v>
      </c>
      <c r="C301" s="1" t="str">
        <f aca="false">cleaned_data!D299</f>
        <v>High Street</v>
      </c>
      <c r="D301" s="1" t="str">
        <f aca="false">cleaned_data!C299</f>
        <v>West</v>
      </c>
      <c r="E301" s="24" t="n">
        <f aca="false">cleaned_data!M299</f>
        <v>763162.45</v>
      </c>
      <c r="F301" s="24" t="n">
        <f aca="false">multiple_regression!B343+multiple_regression!B331*cleaned_data!F299+multiple_regression!B332*cleaned_data!E299+multiple_regression!B333*cleaned_data!H299+multiple_regression!B334*cleaned_data!I299+multiple_regression!B335*cleaned_data!G299+multiple_regression!B336*cleaned_data!K299+multiple_regression!B337*dummy_variables!E302+multiple_regression!B338*dummy_variables!F302+multiple_regression!B339*dummy_variables!G302+multiple_regression!B340*dummy_variables!H302+multiple_regression!B341*dummy_variables!I302+multiple_regression!B342*dummy_variables!J302</f>
        <v>685766.201537539</v>
      </c>
      <c r="G301" s="24" t="n">
        <f aca="false">E301-F301</f>
        <v>77396.2484624611</v>
      </c>
    </row>
    <row r="302" customFormat="false" ht="15" hidden="false" customHeight="true" outlineLevel="0" collapsed="false">
      <c r="A302" s="1" t="str">
        <f aca="false">cleaned_data!A300</f>
        <v>STR-1075</v>
      </c>
      <c r="B302" s="3" t="n">
        <f aca="false">cleaned_data!B300</f>
        <v>45717</v>
      </c>
      <c r="C302" s="1" t="str">
        <f aca="false">cleaned_data!D300</f>
        <v>High Street</v>
      </c>
      <c r="D302" s="1" t="str">
        <f aca="false">cleaned_data!C300</f>
        <v>West</v>
      </c>
      <c r="E302" s="24" t="n">
        <f aca="false">cleaned_data!M300</f>
        <v>599017.33</v>
      </c>
      <c r="F302" s="24" t="n">
        <f aca="false">multiple_regression!B343+multiple_regression!B331*cleaned_data!F300+multiple_regression!B332*cleaned_data!E300+multiple_regression!B333*cleaned_data!H300+multiple_regression!B334*cleaned_data!I300+multiple_regression!B335*cleaned_data!G300+multiple_regression!B336*cleaned_data!K300+multiple_regression!B337*dummy_variables!E303+multiple_regression!B338*dummy_variables!F303+multiple_regression!B339*dummy_variables!G303+multiple_regression!B340*dummy_variables!H303+multiple_regression!B341*dummy_variables!I303+multiple_regression!B342*dummy_variables!J303</f>
        <v>623570.850786679</v>
      </c>
      <c r="G302" s="24" t="n">
        <f aca="false">E302-F302</f>
        <v>-24553.5207866794</v>
      </c>
    </row>
    <row r="303" customFormat="false" ht="15" hidden="false" customHeight="true" outlineLevel="0" collapsed="false">
      <c r="A303" s="1" t="str">
        <f aca="false">cleaned_data!A301</f>
        <v>STR-1075</v>
      </c>
      <c r="B303" s="3" t="n">
        <f aca="false">cleaned_data!B301</f>
        <v>45748</v>
      </c>
      <c r="C303" s="1" t="str">
        <f aca="false">cleaned_data!D301</f>
        <v>High Street</v>
      </c>
      <c r="D303" s="1" t="str">
        <f aca="false">cleaned_data!C301</f>
        <v>West</v>
      </c>
      <c r="E303" s="24" t="n">
        <f aca="false">cleaned_data!M301</f>
        <v>401582.58</v>
      </c>
      <c r="F303" s="24" t="n">
        <f aca="false">multiple_regression!B343+multiple_regression!B331*cleaned_data!F301+multiple_regression!B332*cleaned_data!E301+multiple_regression!B333*cleaned_data!H301+multiple_regression!B334*cleaned_data!I301+multiple_regression!B335*cleaned_data!G301+multiple_regression!B336*cleaned_data!K301+multiple_regression!B337*dummy_variables!E304+multiple_regression!B338*dummy_variables!F304+multiple_regression!B339*dummy_variables!G304+multiple_regression!B340*dummy_variables!H304+multiple_regression!B341*dummy_variables!I304+multiple_regression!B342*dummy_variables!J304</f>
        <v>479650.569766916</v>
      </c>
      <c r="G303" s="24" t="n">
        <f aca="false">E303-F303</f>
        <v>-78067.9897669156</v>
      </c>
    </row>
    <row r="304" customFormat="false" ht="15" hidden="false" customHeight="true" outlineLevel="0" collapsed="false">
      <c r="A304" s="1" t="str">
        <f aca="false">cleaned_data!A302</f>
        <v>STR-1076</v>
      </c>
      <c r="B304" s="3" t="n">
        <f aca="false">cleaned_data!B302</f>
        <v>45658</v>
      </c>
      <c r="C304" s="1" t="str">
        <f aca="false">cleaned_data!D302</f>
        <v>Mall</v>
      </c>
      <c r="D304" s="1" t="str">
        <f aca="false">cleaned_data!C302</f>
        <v>North</v>
      </c>
      <c r="E304" s="24" t="n">
        <f aca="false">cleaned_data!M302</f>
        <v>703812.99</v>
      </c>
      <c r="F304" s="24" t="n">
        <f aca="false">multiple_regression!B343+multiple_regression!B331*cleaned_data!F302+multiple_regression!B332*cleaned_data!E302+multiple_regression!B333*cleaned_data!H302+multiple_regression!B334*cleaned_data!I302+multiple_regression!B335*cleaned_data!G302+multiple_regression!B336*cleaned_data!K302+multiple_regression!B337*dummy_variables!E305+multiple_regression!B338*dummy_variables!F305+multiple_regression!B339*dummy_variables!G305+multiple_regression!B340*dummy_variables!H305+multiple_regression!B341*dummy_variables!I305+multiple_regression!B342*dummy_variables!J305</f>
        <v>748304.493614493</v>
      </c>
      <c r="G304" s="24" t="n">
        <f aca="false">E304-F304</f>
        <v>-44491.5036144932</v>
      </c>
    </row>
    <row r="305" customFormat="false" ht="15" hidden="false" customHeight="true" outlineLevel="0" collapsed="false">
      <c r="A305" s="1" t="str">
        <f aca="false">cleaned_data!A303</f>
        <v>STR-1076</v>
      </c>
      <c r="B305" s="3" t="n">
        <f aca="false">cleaned_data!B303</f>
        <v>45689</v>
      </c>
      <c r="C305" s="1" t="str">
        <f aca="false">cleaned_data!D303</f>
        <v>Mall</v>
      </c>
      <c r="D305" s="1" t="str">
        <f aca="false">cleaned_data!C303</f>
        <v>North</v>
      </c>
      <c r="E305" s="24" t="n">
        <f aca="false">cleaned_data!M303</f>
        <v>724346.73</v>
      </c>
      <c r="F305" s="24" t="n">
        <f aca="false">multiple_regression!B343+multiple_regression!B331*cleaned_data!F303+multiple_regression!B332*cleaned_data!E303+multiple_regression!B333*cleaned_data!H303+multiple_regression!B334*cleaned_data!I303+multiple_regression!B335*cleaned_data!G303+multiple_regression!B336*cleaned_data!K303+multiple_regression!B337*dummy_variables!E306+multiple_regression!B338*dummy_variables!F306+multiple_regression!B339*dummy_variables!G306+multiple_regression!B340*dummy_variables!H306+multiple_regression!B341*dummy_variables!I306+multiple_regression!B342*dummy_variables!J306</f>
        <v>734147.836944818</v>
      </c>
      <c r="G305" s="24" t="n">
        <f aca="false">E305-F305</f>
        <v>-9801.1069448184</v>
      </c>
    </row>
    <row r="306" customFormat="false" ht="15" hidden="false" customHeight="true" outlineLevel="0" collapsed="false">
      <c r="A306" s="1" t="str">
        <f aca="false">cleaned_data!A304</f>
        <v>STR-1076</v>
      </c>
      <c r="B306" s="3" t="n">
        <f aca="false">cleaned_data!B304</f>
        <v>45717</v>
      </c>
      <c r="C306" s="1" t="str">
        <f aca="false">cleaned_data!D304</f>
        <v>Mall</v>
      </c>
      <c r="D306" s="1" t="str">
        <f aca="false">cleaned_data!C304</f>
        <v>North</v>
      </c>
      <c r="E306" s="24" t="n">
        <f aca="false">cleaned_data!M304</f>
        <v>730890.01</v>
      </c>
      <c r="F306" s="24" t="n">
        <f aca="false">multiple_regression!B343+multiple_regression!B331*cleaned_data!F304+multiple_regression!B332*cleaned_data!E304+multiple_regression!B333*cleaned_data!H304+multiple_regression!B334*cleaned_data!I304+multiple_regression!B335*cleaned_data!G304+multiple_regression!B336*cleaned_data!K304+multiple_regression!B337*dummy_variables!E307+multiple_regression!B338*dummy_variables!F307+multiple_regression!B339*dummy_variables!G307+multiple_regression!B340*dummy_variables!H307+multiple_regression!B341*dummy_variables!I307+multiple_regression!B342*dummy_variables!J307</f>
        <v>751174.875704143</v>
      </c>
      <c r="G306" s="24" t="n">
        <f aca="false">E306-F306</f>
        <v>-20284.8657041432</v>
      </c>
    </row>
    <row r="307" customFormat="false" ht="15" hidden="false" customHeight="true" outlineLevel="0" collapsed="false">
      <c r="A307" s="1" t="str">
        <f aca="false">cleaned_data!A305</f>
        <v>STR-1076</v>
      </c>
      <c r="B307" s="3" t="n">
        <f aca="false">cleaned_data!B305</f>
        <v>45748</v>
      </c>
      <c r="C307" s="1" t="str">
        <f aca="false">cleaned_data!D305</f>
        <v>Mall</v>
      </c>
      <c r="D307" s="1" t="str">
        <f aca="false">cleaned_data!C305</f>
        <v>North</v>
      </c>
      <c r="E307" s="24" t="n">
        <f aca="false">cleaned_data!M305</f>
        <v>780580.95</v>
      </c>
      <c r="F307" s="24" t="n">
        <f aca="false">multiple_regression!B343+multiple_regression!B331*cleaned_data!F305+multiple_regression!B332*cleaned_data!E305+multiple_regression!B333*cleaned_data!H305+multiple_regression!B334*cleaned_data!I305+multiple_regression!B335*cleaned_data!G305+multiple_regression!B336*cleaned_data!K305+multiple_regression!B337*dummy_variables!E308+multiple_regression!B338*dummy_variables!F308+multiple_regression!B339*dummy_variables!G308+multiple_regression!B340*dummy_variables!H308+multiple_regression!B341*dummy_variables!I308+multiple_regression!B342*dummy_variables!J308</f>
        <v>719831.295523392</v>
      </c>
      <c r="G307" s="24" t="n">
        <f aca="false">E307-F307</f>
        <v>60749.6544766084</v>
      </c>
    </row>
    <row r="308" customFormat="false" ht="15" hidden="false" customHeight="true" outlineLevel="0" collapsed="false">
      <c r="A308" s="1" t="str">
        <f aca="false">cleaned_data!A306</f>
        <v>STR-1077</v>
      </c>
      <c r="B308" s="3" t="n">
        <f aca="false">cleaned_data!B306</f>
        <v>45658</v>
      </c>
      <c r="C308" s="1" t="str">
        <f aca="false">cleaned_data!D306</f>
        <v>Residential</v>
      </c>
      <c r="D308" s="1" t="str">
        <f aca="false">cleaned_data!C306</f>
        <v>South</v>
      </c>
      <c r="E308" s="24" t="n">
        <f aca="false">cleaned_data!M306</f>
        <v>727957.48</v>
      </c>
      <c r="F308" s="24" t="n">
        <f aca="false">multiple_regression!B343+multiple_regression!B331*cleaned_data!F306+multiple_regression!B332*cleaned_data!E306+multiple_regression!B333*cleaned_data!H306+multiple_regression!B334*cleaned_data!I306+multiple_regression!B335*cleaned_data!G306+multiple_regression!B336*cleaned_data!K306+multiple_regression!B337*dummy_variables!E309+multiple_regression!B338*dummy_variables!F309+multiple_regression!B339*dummy_variables!G309+multiple_regression!B340*dummy_variables!H309+multiple_regression!B341*dummy_variables!I309+multiple_regression!B342*dummy_variables!J309</f>
        <v>675600.073941913</v>
      </c>
      <c r="G308" s="24" t="n">
        <f aca="false">E308-F308</f>
        <v>52357.406058087</v>
      </c>
    </row>
    <row r="309" customFormat="false" ht="15" hidden="false" customHeight="true" outlineLevel="0" collapsed="false">
      <c r="A309" s="1" t="str">
        <f aca="false">cleaned_data!A307</f>
        <v>STR-1077</v>
      </c>
      <c r="B309" s="3" t="n">
        <f aca="false">cleaned_data!B307</f>
        <v>45689</v>
      </c>
      <c r="C309" s="1" t="str">
        <f aca="false">cleaned_data!D307</f>
        <v>Residential</v>
      </c>
      <c r="D309" s="1" t="str">
        <f aca="false">cleaned_data!C307</f>
        <v>South</v>
      </c>
      <c r="E309" s="24" t="n">
        <f aca="false">cleaned_data!M307</f>
        <v>538376</v>
      </c>
      <c r="F309" s="24" t="n">
        <f aca="false">multiple_regression!B343+multiple_regression!B331*cleaned_data!F307+multiple_regression!B332*cleaned_data!E307+multiple_regression!B333*cleaned_data!H307+multiple_regression!B334*cleaned_data!I307+multiple_regression!B335*cleaned_data!G307+multiple_regression!B336*cleaned_data!K307+multiple_regression!B337*dummy_variables!E310+multiple_regression!B338*dummy_variables!F310+multiple_regression!B339*dummy_variables!G310+multiple_regression!B340*dummy_variables!H310+multiple_regression!B341*dummy_variables!I310+multiple_regression!B342*dummy_variables!J310</f>
        <v>634782.363372392</v>
      </c>
      <c r="G309" s="24" t="n">
        <f aca="false">E309-F309</f>
        <v>-96406.3633723921</v>
      </c>
    </row>
    <row r="310" customFormat="false" ht="15" hidden="false" customHeight="true" outlineLevel="0" collapsed="false">
      <c r="A310" s="1" t="str">
        <f aca="false">cleaned_data!A308</f>
        <v>STR-1077</v>
      </c>
      <c r="B310" s="3" t="n">
        <f aca="false">cleaned_data!B308</f>
        <v>45717</v>
      </c>
      <c r="C310" s="1" t="str">
        <f aca="false">cleaned_data!D308</f>
        <v>Residential</v>
      </c>
      <c r="D310" s="1" t="str">
        <f aca="false">cleaned_data!C308</f>
        <v>South</v>
      </c>
      <c r="E310" s="24" t="n">
        <f aca="false">cleaned_data!M308</f>
        <v>665342.49</v>
      </c>
      <c r="F310" s="24" t="n">
        <f aca="false">multiple_regression!B343+multiple_regression!B331*cleaned_data!F308+multiple_regression!B332*cleaned_data!E308+multiple_regression!B333*cleaned_data!H308+multiple_regression!B334*cleaned_data!I308+multiple_regression!B335*cleaned_data!G308+multiple_regression!B336*cleaned_data!K308+multiple_regression!B337*dummy_variables!E311+multiple_regression!B338*dummy_variables!F311+multiple_regression!B339*dummy_variables!G311+multiple_regression!B340*dummy_variables!H311+multiple_regression!B341*dummy_variables!I311+multiple_regression!B342*dummy_variables!J311</f>
        <v>623413.151783677</v>
      </c>
      <c r="G310" s="24" t="n">
        <f aca="false">E310-F310</f>
        <v>41929.3382163233</v>
      </c>
    </row>
    <row r="311" customFormat="false" ht="15" hidden="false" customHeight="true" outlineLevel="0" collapsed="false">
      <c r="A311" s="1" t="str">
        <f aca="false">cleaned_data!A309</f>
        <v>STR-1077</v>
      </c>
      <c r="B311" s="3" t="n">
        <f aca="false">cleaned_data!B309</f>
        <v>45748</v>
      </c>
      <c r="C311" s="1" t="str">
        <f aca="false">cleaned_data!D309</f>
        <v>Residential</v>
      </c>
      <c r="D311" s="1" t="str">
        <f aca="false">cleaned_data!C309</f>
        <v>South</v>
      </c>
      <c r="E311" s="24" t="n">
        <f aca="false">cleaned_data!M309</f>
        <v>651164.18</v>
      </c>
      <c r="F311" s="24" t="n">
        <f aca="false">multiple_regression!B343+multiple_regression!B331*cleaned_data!F309+multiple_regression!B332*cleaned_data!E309+multiple_regression!B333*cleaned_data!H309+multiple_regression!B334*cleaned_data!I309+multiple_regression!B335*cleaned_data!G309+multiple_regression!B336*cleaned_data!K309+multiple_regression!B337*dummy_variables!E312+multiple_regression!B338*dummy_variables!F312+multiple_regression!B339*dummy_variables!G312+multiple_regression!B340*dummy_variables!H312+multiple_regression!B341*dummy_variables!I312+multiple_regression!B342*dummy_variables!J312</f>
        <v>703522.107492622</v>
      </c>
      <c r="G311" s="24" t="n">
        <f aca="false">E311-F311</f>
        <v>-52357.9274926218</v>
      </c>
    </row>
    <row r="312" customFormat="false" ht="15" hidden="false" customHeight="true" outlineLevel="0" collapsed="false">
      <c r="A312" s="1" t="str">
        <f aca="false">cleaned_data!A310</f>
        <v>STR-1078</v>
      </c>
      <c r="B312" s="3" t="n">
        <f aca="false">cleaned_data!B310</f>
        <v>45658</v>
      </c>
      <c r="C312" s="1" t="str">
        <f aca="false">cleaned_data!D310</f>
        <v>High Street</v>
      </c>
      <c r="D312" s="1" t="str">
        <f aca="false">cleaned_data!C310</f>
        <v>South</v>
      </c>
      <c r="E312" s="24" t="n">
        <f aca="false">cleaned_data!M310</f>
        <v>628538.3</v>
      </c>
      <c r="F312" s="24" t="n">
        <f aca="false">multiple_regression!B343+multiple_regression!B331*cleaned_data!F310+multiple_regression!B332*cleaned_data!E310+multiple_regression!B333*cleaned_data!H310+multiple_regression!B334*cleaned_data!I310+multiple_regression!B335*cleaned_data!G310+multiple_regression!B336*cleaned_data!K310+multiple_regression!B337*dummy_variables!E313+multiple_regression!B338*dummy_variables!F313+multiple_regression!B339*dummy_variables!G313+multiple_regression!B340*dummy_variables!H313+multiple_regression!B341*dummy_variables!I313+multiple_regression!B342*dummy_variables!J313</f>
        <v>641500.483585362</v>
      </c>
      <c r="G312" s="24" t="n">
        <f aca="false">E312-F312</f>
        <v>-12962.1835853617</v>
      </c>
    </row>
    <row r="313" customFormat="false" ht="15" hidden="false" customHeight="true" outlineLevel="0" collapsed="false">
      <c r="A313" s="1" t="str">
        <f aca="false">cleaned_data!A311</f>
        <v>STR-1078</v>
      </c>
      <c r="B313" s="3" t="n">
        <f aca="false">cleaned_data!B311</f>
        <v>45689</v>
      </c>
      <c r="C313" s="1" t="str">
        <f aca="false">cleaned_data!D311</f>
        <v>High Street</v>
      </c>
      <c r="D313" s="1" t="str">
        <f aca="false">cleaned_data!C311</f>
        <v>South</v>
      </c>
      <c r="E313" s="24" t="n">
        <f aca="false">cleaned_data!M311</f>
        <v>536524.84</v>
      </c>
      <c r="F313" s="24" t="n">
        <f aca="false">multiple_regression!B343+multiple_regression!B331*cleaned_data!F311+multiple_regression!B332*cleaned_data!E311+multiple_regression!B333*cleaned_data!H311+multiple_regression!B334*cleaned_data!I311+multiple_regression!B335*cleaned_data!G311+multiple_regression!B336*cleaned_data!K311+multiple_regression!B337*dummy_variables!E314+multiple_regression!B338*dummy_variables!F314+multiple_regression!B339*dummy_variables!G314+multiple_regression!B340*dummy_variables!H314+multiple_regression!B341*dummy_variables!I314+multiple_regression!B342*dummy_variables!J314</f>
        <v>578366.118701061</v>
      </c>
      <c r="G313" s="24" t="n">
        <f aca="false">E313-F313</f>
        <v>-41841.2787010606</v>
      </c>
    </row>
    <row r="314" customFormat="false" ht="15" hidden="false" customHeight="true" outlineLevel="0" collapsed="false">
      <c r="A314" s="1" t="str">
        <f aca="false">cleaned_data!A312</f>
        <v>STR-1078</v>
      </c>
      <c r="B314" s="3" t="n">
        <f aca="false">cleaned_data!B312</f>
        <v>45717</v>
      </c>
      <c r="C314" s="1" t="str">
        <f aca="false">cleaned_data!D312</f>
        <v>High Street</v>
      </c>
      <c r="D314" s="1" t="str">
        <f aca="false">cleaned_data!C312</f>
        <v>South</v>
      </c>
      <c r="E314" s="24" t="n">
        <f aca="false">cleaned_data!M312</f>
        <v>621677.3</v>
      </c>
      <c r="F314" s="24" t="n">
        <f aca="false">multiple_regression!B343+multiple_regression!B331*cleaned_data!F312+multiple_regression!B332*cleaned_data!E312+multiple_regression!B333*cleaned_data!H312+multiple_regression!B334*cleaned_data!I312+multiple_regression!B335*cleaned_data!G312+multiple_regression!B336*cleaned_data!K312+multiple_regression!B337*dummy_variables!E315+multiple_regression!B338*dummy_variables!F315+multiple_regression!B339*dummy_variables!G315+multiple_regression!B340*dummy_variables!H315+multiple_regression!B341*dummy_variables!I315+multiple_regression!B342*dummy_variables!J315</f>
        <v>631416.450653059</v>
      </c>
      <c r="G314" s="24" t="n">
        <f aca="false">E314-F314</f>
        <v>-9739.15065305855</v>
      </c>
    </row>
    <row r="315" customFormat="false" ht="15" hidden="false" customHeight="true" outlineLevel="0" collapsed="false">
      <c r="A315" s="1" t="str">
        <f aca="false">cleaned_data!A313</f>
        <v>STR-1078</v>
      </c>
      <c r="B315" s="3" t="n">
        <f aca="false">cleaned_data!B313</f>
        <v>45748</v>
      </c>
      <c r="C315" s="1" t="str">
        <f aca="false">cleaned_data!D313</f>
        <v>High Street</v>
      </c>
      <c r="D315" s="1" t="str">
        <f aca="false">cleaned_data!C313</f>
        <v>South</v>
      </c>
      <c r="E315" s="24" t="n">
        <f aca="false">cleaned_data!M313</f>
        <v>771129.07</v>
      </c>
      <c r="F315" s="24" t="n">
        <f aca="false">multiple_regression!B343+multiple_regression!B331*cleaned_data!F313+multiple_regression!B332*cleaned_data!E313+multiple_regression!B333*cleaned_data!H313+multiple_regression!B334*cleaned_data!I313+multiple_regression!B335*cleaned_data!G313+multiple_regression!B336*cleaned_data!K313+multiple_regression!B337*dummy_variables!E316+multiple_regression!B338*dummy_variables!F316+multiple_regression!B339*dummy_variables!G316+multiple_regression!B340*dummy_variables!H316+multiple_regression!B341*dummy_variables!I316+multiple_regression!B342*dummy_variables!J316</f>
        <v>759343.166081834</v>
      </c>
      <c r="G315" s="24" t="n">
        <f aca="false">E315-F315</f>
        <v>11785.9039181664</v>
      </c>
    </row>
    <row r="316" customFormat="false" ht="15" hidden="false" customHeight="true" outlineLevel="0" collapsed="false">
      <c r="A316" s="1" t="str">
        <f aca="false">cleaned_data!A314</f>
        <v>STR-1079</v>
      </c>
      <c r="B316" s="3" t="n">
        <f aca="false">cleaned_data!B314</f>
        <v>45658</v>
      </c>
      <c r="C316" s="1" t="str">
        <f aca="false">cleaned_data!D314</f>
        <v>Residential</v>
      </c>
      <c r="D316" s="1" t="str">
        <f aca="false">cleaned_data!C314</f>
        <v>North</v>
      </c>
      <c r="E316" s="24" t="n">
        <f aca="false">cleaned_data!M314</f>
        <v>702052.47</v>
      </c>
      <c r="F316" s="24" t="n">
        <f aca="false">multiple_regression!B343+multiple_regression!B331*cleaned_data!F314+multiple_regression!B332*cleaned_data!E314+multiple_regression!B333*cleaned_data!H314+multiple_regression!B334*cleaned_data!I314+multiple_regression!B335*cleaned_data!G314+multiple_regression!B336*cleaned_data!K314+multiple_regression!B337*dummy_variables!E317+multiple_regression!B338*dummy_variables!F317+multiple_regression!B339*dummy_variables!G317+multiple_regression!B340*dummy_variables!H317+multiple_regression!B341*dummy_variables!I317+multiple_regression!B342*dummy_variables!J317</f>
        <v>667821.562983003</v>
      </c>
      <c r="G316" s="24" t="n">
        <f aca="false">E316-F316</f>
        <v>34230.907016997</v>
      </c>
    </row>
    <row r="317" customFormat="false" ht="15" hidden="false" customHeight="true" outlineLevel="0" collapsed="false">
      <c r="A317" s="1" t="str">
        <f aca="false">cleaned_data!A315</f>
        <v>STR-1079</v>
      </c>
      <c r="B317" s="3" t="n">
        <f aca="false">cleaned_data!B315</f>
        <v>45689</v>
      </c>
      <c r="C317" s="1" t="str">
        <f aca="false">cleaned_data!D315</f>
        <v>Residential</v>
      </c>
      <c r="D317" s="1" t="str">
        <f aca="false">cleaned_data!C315</f>
        <v>North</v>
      </c>
      <c r="E317" s="24" t="n">
        <f aca="false">cleaned_data!M315</f>
        <v>688368.46</v>
      </c>
      <c r="F317" s="24" t="n">
        <f aca="false">multiple_regression!B343+multiple_regression!B331*cleaned_data!F315+multiple_regression!B332*cleaned_data!E315+multiple_regression!B333*cleaned_data!H315+multiple_regression!B334*cleaned_data!I315+multiple_regression!B335*cleaned_data!G315+multiple_regression!B336*cleaned_data!K315+multiple_regression!B337*dummy_variables!E318+multiple_regression!B338*dummy_variables!F318+multiple_regression!B339*dummy_variables!G318+multiple_regression!B340*dummy_variables!H318+multiple_regression!B341*dummy_variables!I318+multiple_regression!B342*dummy_variables!J318</f>
        <v>707468.180946536</v>
      </c>
      <c r="G317" s="24" t="n">
        <f aca="false">E317-F317</f>
        <v>-19099.7209465356</v>
      </c>
    </row>
    <row r="318" customFormat="false" ht="15" hidden="false" customHeight="true" outlineLevel="0" collapsed="false">
      <c r="A318" s="1" t="str">
        <f aca="false">cleaned_data!A316</f>
        <v>STR-1079</v>
      </c>
      <c r="B318" s="3" t="n">
        <f aca="false">cleaned_data!B316</f>
        <v>45717</v>
      </c>
      <c r="C318" s="1" t="str">
        <f aca="false">cleaned_data!D316</f>
        <v>Residential</v>
      </c>
      <c r="D318" s="1" t="str">
        <f aca="false">cleaned_data!C316</f>
        <v>North</v>
      </c>
      <c r="E318" s="24" t="n">
        <f aca="false">cleaned_data!M316</f>
        <v>712375.77</v>
      </c>
      <c r="F318" s="24" t="n">
        <f aca="false">multiple_regression!B343+multiple_regression!B331*cleaned_data!F316+multiple_regression!B332*cleaned_data!E316+multiple_regression!B333*cleaned_data!H316+multiple_regression!B334*cleaned_data!I316+multiple_regression!B335*cleaned_data!G316+multiple_regression!B336*cleaned_data!K316+multiple_regression!B337*dummy_variables!E319+multiple_regression!B338*dummy_variables!F319+multiple_regression!B339*dummy_variables!G319+multiple_regression!B340*dummy_variables!H319+multiple_regression!B341*dummy_variables!I319+multiple_regression!B342*dummy_variables!J319</f>
        <v>689367.920314747</v>
      </c>
      <c r="G318" s="24" t="n">
        <f aca="false">E318-F318</f>
        <v>23007.8496852526</v>
      </c>
    </row>
    <row r="319" customFormat="false" ht="15" hidden="false" customHeight="true" outlineLevel="0" collapsed="false">
      <c r="A319" s="1" t="str">
        <f aca="false">cleaned_data!A317</f>
        <v>STR-1079</v>
      </c>
      <c r="B319" s="3" t="n">
        <f aca="false">cleaned_data!B317</f>
        <v>45748</v>
      </c>
      <c r="C319" s="1" t="str">
        <f aca="false">cleaned_data!D317</f>
        <v>Residential</v>
      </c>
      <c r="D319" s="1" t="str">
        <f aca="false">cleaned_data!C317</f>
        <v>North</v>
      </c>
      <c r="E319" s="24" t="n">
        <f aca="false">cleaned_data!M317</f>
        <v>844710.67</v>
      </c>
      <c r="F319" s="24" t="n">
        <f aca="false">multiple_regression!B343+multiple_regression!B331*cleaned_data!F317+multiple_regression!B332*cleaned_data!E317+multiple_regression!B333*cleaned_data!H317+multiple_regression!B334*cleaned_data!I317+multiple_regression!B335*cleaned_data!G317+multiple_regression!B336*cleaned_data!K317+multiple_regression!B337*dummy_variables!E320+multiple_regression!B338*dummy_variables!F320+multiple_regression!B339*dummy_variables!G320+multiple_regression!B340*dummy_variables!H320+multiple_regression!B341*dummy_variables!I320+multiple_regression!B342*dummy_variables!J320</f>
        <v>795498.98685257</v>
      </c>
      <c r="G319" s="24" t="n">
        <f aca="false">E319-F319</f>
        <v>49211.6831474297</v>
      </c>
    </row>
    <row r="320" customFormat="false" ht="15" hidden="false" customHeight="true" outlineLevel="0" collapsed="false">
      <c r="A320" s="1" t="str">
        <f aca="false">cleaned_data!A318</f>
        <v>STR-1080</v>
      </c>
      <c r="B320" s="3" t="n">
        <f aca="false">cleaned_data!B318</f>
        <v>45658</v>
      </c>
      <c r="C320" s="1" t="str">
        <f aca="false">cleaned_data!D318</f>
        <v>Residential</v>
      </c>
      <c r="D320" s="1" t="str">
        <f aca="false">cleaned_data!C318</f>
        <v>East</v>
      </c>
      <c r="E320" s="24" t="n">
        <f aca="false">cleaned_data!M318</f>
        <v>620264.2</v>
      </c>
      <c r="F320" s="24" t="n">
        <f aca="false">multiple_regression!B343+multiple_regression!B331*cleaned_data!F318+multiple_regression!B332*cleaned_data!E318+multiple_regression!B333*cleaned_data!H318+multiple_regression!B334*cleaned_data!I318+multiple_regression!B335*cleaned_data!G318+multiple_regression!B336*cleaned_data!K318+multiple_regression!B337*dummy_variables!E321+multiple_regression!B338*dummy_variables!F321+multiple_regression!B339*dummy_variables!G321+multiple_regression!B340*dummy_variables!H321+multiple_regression!B341*dummy_variables!I321+multiple_regression!B342*dummy_variables!J321</f>
        <v>670659.962327867</v>
      </c>
      <c r="G320" s="24" t="n">
        <f aca="false">E320-F320</f>
        <v>-50395.7623278665</v>
      </c>
    </row>
    <row r="321" customFormat="false" ht="15" hidden="false" customHeight="true" outlineLevel="0" collapsed="false">
      <c r="A321" s="1" t="str">
        <f aca="false">cleaned_data!A319</f>
        <v>STR-1080</v>
      </c>
      <c r="B321" s="3" t="n">
        <f aca="false">cleaned_data!B319</f>
        <v>45689</v>
      </c>
      <c r="C321" s="1" t="str">
        <f aca="false">cleaned_data!D319</f>
        <v>Residential</v>
      </c>
      <c r="D321" s="1" t="str">
        <f aca="false">cleaned_data!C319</f>
        <v>East</v>
      </c>
      <c r="E321" s="24" t="n">
        <f aca="false">cleaned_data!M319</f>
        <v>536845.42</v>
      </c>
      <c r="F321" s="24" t="n">
        <f aca="false">multiple_regression!B343+multiple_regression!B331*cleaned_data!F319+multiple_regression!B332*cleaned_data!E319+multiple_regression!B333*cleaned_data!H319+multiple_regression!B334*cleaned_data!I319+multiple_regression!B335*cleaned_data!G319+multiple_regression!B336*cleaned_data!K319+multiple_regression!B337*dummy_variables!E322+multiple_regression!B338*dummy_variables!F322+multiple_regression!B339*dummy_variables!G322+multiple_regression!B340*dummy_variables!H322+multiple_regression!B341*dummy_variables!I322+multiple_regression!B342*dummy_variables!J322</f>
        <v>514723.665143862</v>
      </c>
      <c r="G321" s="24" t="n">
        <f aca="false">E321-F321</f>
        <v>22121.7548561376</v>
      </c>
    </row>
    <row r="322" customFormat="false" ht="15" hidden="false" customHeight="true" outlineLevel="0" collapsed="false">
      <c r="A322" s="1" t="str">
        <f aca="false">cleaned_data!A320</f>
        <v>STR-1080</v>
      </c>
      <c r="B322" s="3" t="n">
        <f aca="false">cleaned_data!B320</f>
        <v>45717</v>
      </c>
      <c r="C322" s="1" t="str">
        <f aca="false">cleaned_data!D320</f>
        <v>Residential</v>
      </c>
      <c r="D322" s="1" t="str">
        <f aca="false">cleaned_data!C320</f>
        <v>East</v>
      </c>
      <c r="E322" s="24" t="n">
        <f aca="false">cleaned_data!M320</f>
        <v>726776.22</v>
      </c>
      <c r="F322" s="24" t="n">
        <f aca="false">multiple_regression!B343+multiple_regression!B331*cleaned_data!F320+multiple_regression!B332*cleaned_data!E320+multiple_regression!B333*cleaned_data!H320+multiple_regression!B334*cleaned_data!I320+multiple_regression!B335*cleaned_data!G320+multiple_regression!B336*cleaned_data!K320+multiple_regression!B337*dummy_variables!E323+multiple_regression!B338*dummy_variables!F323+multiple_regression!B339*dummy_variables!G323+multiple_regression!B340*dummy_variables!H323+multiple_regression!B341*dummy_variables!I323+multiple_regression!B342*dummy_variables!J323</f>
        <v>726293.413869313</v>
      </c>
      <c r="G322" s="24" t="n">
        <f aca="false">E322-F322</f>
        <v>482.806130687124</v>
      </c>
    </row>
    <row r="323" customFormat="false" ht="15" hidden="false" customHeight="true" outlineLevel="0" collapsed="false">
      <c r="A323" s="1" t="str">
        <f aca="false">cleaned_data!A321</f>
        <v>STR-1080</v>
      </c>
      <c r="B323" s="3" t="n">
        <f aca="false">cleaned_data!B321</f>
        <v>45748</v>
      </c>
      <c r="C323" s="1" t="str">
        <f aca="false">cleaned_data!D321</f>
        <v>Residential</v>
      </c>
      <c r="D323" s="1" t="str">
        <f aca="false">cleaned_data!C321</f>
        <v>East</v>
      </c>
      <c r="E323" s="24" t="n">
        <f aca="false">cleaned_data!M321</f>
        <v>559660.84</v>
      </c>
      <c r="F323" s="24" t="n">
        <f aca="false">multiple_regression!B343+multiple_regression!B331*cleaned_data!F321+multiple_regression!B332*cleaned_data!E321+multiple_regression!B333*cleaned_data!H321+multiple_regression!B334*cleaned_data!I321+multiple_regression!B335*cleaned_data!G321+multiple_regression!B336*cleaned_data!K321+multiple_regression!B337*dummy_variables!E324+multiple_regression!B338*dummy_variables!F324+multiple_regression!B339*dummy_variables!G324+multiple_regression!B340*dummy_variables!H324+multiple_regression!B341*dummy_variables!I324+multiple_regression!B342*dummy_variables!J324</f>
        <v>584265.110276801</v>
      </c>
      <c r="G323" s="24" t="n">
        <f aca="false">E323-F323</f>
        <v>-24604.2702768005</v>
      </c>
    </row>
    <row r="326" customFormat="false" ht="15" hidden="false" customHeight="true" outlineLevel="0" collapsed="false">
      <c r="A326" s="7" t="s">
        <v>151</v>
      </c>
    </row>
    <row r="327" customFormat="false" ht="15" hidden="false" customHeight="true" outlineLevel="0" collapsed="false">
      <c r="A327" s="8" t="s">
        <v>152</v>
      </c>
      <c r="B327" s="8" t="s">
        <v>0</v>
      </c>
      <c r="C327" s="8" t="s">
        <v>1</v>
      </c>
      <c r="D327" s="8" t="s">
        <v>3</v>
      </c>
      <c r="E327" s="8" t="s">
        <v>2</v>
      </c>
      <c r="F327" s="8" t="s">
        <v>153</v>
      </c>
      <c r="G327" s="8" t="s">
        <v>154</v>
      </c>
      <c r="H327" s="8" t="s">
        <v>150</v>
      </c>
    </row>
    <row r="328" customFormat="false" ht="15" hidden="false" customHeight="true" outlineLevel="0" collapsed="false">
      <c r="A328" s="1" t="n">
        <v>1</v>
      </c>
      <c r="B328" s="1" t="str">
        <f aca="false">INDEX($A$4:$A$323,MATCH(H328,$G$4:$G$323,0))</f>
        <v>STR-1028</v>
      </c>
      <c r="C328" s="3" t="n">
        <f aca="false">INDEX($B$4:$B$323,MATCH(H328,$G$4:$G$323,0))</f>
        <v>45748</v>
      </c>
      <c r="D328" s="1" t="str">
        <f aca="false">INDEX($C$4:$C$323,MATCH(H328,$G$4:$G$323,0))</f>
        <v>Mall</v>
      </c>
      <c r="E328" s="1" t="str">
        <f aca="false">INDEX($D$4:$D$323,MATCH(H328,$G$4:$G$323,0))</f>
        <v>East</v>
      </c>
      <c r="F328" s="24" t="n">
        <f aca="false">INDEX($E$4:$E$323,MATCH(H328,$G$4:$G$323,0))</f>
        <v>713611.16</v>
      </c>
      <c r="G328" s="24" t="n">
        <f aca="false">INDEX($F$4:$F$323,MATCH(H328,$G$4:$G$323,0))</f>
        <v>605688.954328846</v>
      </c>
      <c r="H328" s="24" t="n">
        <f aca="false">LARGE($G$4:$G$323,1)</f>
        <v>107922.205671154</v>
      </c>
    </row>
    <row r="329" customFormat="false" ht="15" hidden="false" customHeight="true" outlineLevel="0" collapsed="false">
      <c r="A329" s="1" t="n">
        <v>2</v>
      </c>
      <c r="B329" s="1" t="str">
        <f aca="false">INDEX($A$4:$A$323,MATCH(H329,$G$4:$G$323,0))</f>
        <v>STR-1026</v>
      </c>
      <c r="C329" s="3" t="n">
        <f aca="false">INDEX($B$4:$B$323,MATCH(H329,$G$4:$G$323,0))</f>
        <v>45748</v>
      </c>
      <c r="D329" s="1" t="str">
        <f aca="false">INDEX($C$4:$C$323,MATCH(H329,$G$4:$G$323,0))</f>
        <v>Mall</v>
      </c>
      <c r="E329" s="1" t="str">
        <f aca="false">INDEX($D$4:$D$323,MATCH(H329,$G$4:$G$323,0))</f>
        <v>East</v>
      </c>
      <c r="F329" s="24" t="n">
        <f aca="false">INDEX($E$4:$E$323,MATCH(H329,$G$4:$G$323,0))</f>
        <v>625514.04</v>
      </c>
      <c r="G329" s="24" t="n">
        <f aca="false">INDEX($F$4:$F$323,MATCH(H329,$G$4:$G$323,0))</f>
        <v>520808.576984257</v>
      </c>
      <c r="H329" s="24" t="n">
        <f aca="false">LARGE($G$4:$G$323,2)</f>
        <v>104705.463015743</v>
      </c>
    </row>
    <row r="330" customFormat="false" ht="15" hidden="false" customHeight="true" outlineLevel="0" collapsed="false">
      <c r="A330" s="1" t="n">
        <v>3</v>
      </c>
      <c r="B330" s="1" t="str">
        <f aca="false">INDEX($A$4:$A$323,MATCH(H330,$G$4:$G$323,0))</f>
        <v>STR-1051</v>
      </c>
      <c r="C330" s="3" t="n">
        <f aca="false">INDEX($B$4:$B$323,MATCH(H330,$G$4:$G$323,0))</f>
        <v>45689</v>
      </c>
      <c r="D330" s="1" t="str">
        <f aca="false">INDEX($C$4:$C$323,MATCH(H330,$G$4:$G$323,0))</f>
        <v>Airport</v>
      </c>
      <c r="E330" s="1" t="str">
        <f aca="false">INDEX($D$4:$D$323,MATCH(H330,$G$4:$G$323,0))</f>
        <v>East</v>
      </c>
      <c r="F330" s="24" t="n">
        <f aca="false">INDEX($E$4:$E$323,MATCH(H330,$G$4:$G$323,0))</f>
        <v>787715.51</v>
      </c>
      <c r="G330" s="24" t="n">
        <f aca="false">INDEX($F$4:$F$323,MATCH(H330,$G$4:$G$323,0))</f>
        <v>684084.667523459</v>
      </c>
      <c r="H330" s="24" t="n">
        <f aca="false">LARGE($G$4:$G$323,3)</f>
        <v>103630.842476541</v>
      </c>
    </row>
    <row r="331" customFormat="false" ht="15" hidden="false" customHeight="true" outlineLevel="0" collapsed="false">
      <c r="A331" s="1" t="n">
        <v>4</v>
      </c>
      <c r="B331" s="1" t="str">
        <f aca="false">INDEX($A$4:$A$323,MATCH(H331,$G$4:$G$323,0))</f>
        <v>STR-1030</v>
      </c>
      <c r="C331" s="3" t="n">
        <f aca="false">INDEX($B$4:$B$323,MATCH(H331,$G$4:$G$323,0))</f>
        <v>45689</v>
      </c>
      <c r="D331" s="1" t="str">
        <f aca="false">INDEX($C$4:$C$323,MATCH(H331,$G$4:$G$323,0))</f>
        <v>Residential</v>
      </c>
      <c r="E331" s="1" t="str">
        <f aca="false">INDEX($D$4:$D$323,MATCH(H331,$G$4:$G$323,0))</f>
        <v>West</v>
      </c>
      <c r="F331" s="24" t="n">
        <f aca="false">INDEX($E$4:$E$323,MATCH(H331,$G$4:$G$323,0))</f>
        <v>820519.04</v>
      </c>
      <c r="G331" s="24" t="n">
        <f aca="false">INDEX($F$4:$F$323,MATCH(H331,$G$4:$G$323,0))</f>
        <v>716893.749343393</v>
      </c>
      <c r="H331" s="24" t="n">
        <f aca="false">LARGE($G$4:$G$323,4)</f>
        <v>103625.290656607</v>
      </c>
    </row>
    <row r="332" customFormat="false" ht="15" hidden="false" customHeight="true" outlineLevel="0" collapsed="false">
      <c r="A332" s="1" t="n">
        <v>5</v>
      </c>
      <c r="B332" s="1" t="str">
        <f aca="false">INDEX($A$4:$A$323,MATCH(H332,$G$4:$G$323,0))</f>
        <v>STR-1073</v>
      </c>
      <c r="C332" s="3" t="n">
        <f aca="false">INDEX($B$4:$B$323,MATCH(H332,$G$4:$G$323,0))</f>
        <v>45717</v>
      </c>
      <c r="D332" s="1" t="str">
        <f aca="false">INDEX($C$4:$C$323,MATCH(H332,$G$4:$G$323,0))</f>
        <v>Residential</v>
      </c>
      <c r="E332" s="1" t="str">
        <f aca="false">INDEX($D$4:$D$323,MATCH(H332,$G$4:$G$323,0))</f>
        <v>East</v>
      </c>
      <c r="F332" s="24" t="n">
        <f aca="false">INDEX($E$4:$E$323,MATCH(H332,$G$4:$G$323,0))</f>
        <v>813316.71</v>
      </c>
      <c r="G332" s="24" t="n">
        <f aca="false">INDEX($F$4:$F$323,MATCH(H332,$G$4:$G$323,0))</f>
        <v>718008.712707184</v>
      </c>
      <c r="H332" s="24" t="n">
        <f aca="false">LARGE($G$4:$G$323,5)</f>
        <v>95307.9972928164</v>
      </c>
    </row>
    <row r="334" customFormat="false" ht="15" hidden="false" customHeight="true" outlineLevel="0" collapsed="false">
      <c r="A334" s="7" t="s">
        <v>155</v>
      </c>
    </row>
    <row r="335" customFormat="false" ht="15" hidden="false" customHeight="true" outlineLevel="0" collapsed="false">
      <c r="A335" s="8" t="s">
        <v>152</v>
      </c>
      <c r="B335" s="8" t="s">
        <v>0</v>
      </c>
      <c r="C335" s="8" t="s">
        <v>1</v>
      </c>
      <c r="D335" s="8" t="s">
        <v>3</v>
      </c>
      <c r="E335" s="8" t="s">
        <v>2</v>
      </c>
      <c r="F335" s="8" t="s">
        <v>153</v>
      </c>
      <c r="G335" s="8" t="s">
        <v>154</v>
      </c>
      <c r="H335" s="8" t="s">
        <v>150</v>
      </c>
    </row>
    <row r="336" customFormat="false" ht="15" hidden="false" customHeight="true" outlineLevel="0" collapsed="false">
      <c r="A336" s="1" t="n">
        <v>1</v>
      </c>
      <c r="B336" s="1" t="str">
        <f aca="false">INDEX($A$4:$A$323,MATCH(H336,$G$4:$G$323,0))</f>
        <v>STR-1017</v>
      </c>
      <c r="C336" s="3" t="n">
        <f aca="false">INDEX($B$4:$B$323,MATCH(H336,$G$4:$G$323,0))</f>
        <v>45717</v>
      </c>
      <c r="D336" s="1" t="str">
        <f aca="false">INDEX($C$4:$C$323,MATCH(H336,$G$4:$G$323,0))</f>
        <v>High Street</v>
      </c>
      <c r="E336" s="1" t="str">
        <f aca="false">INDEX($D$4:$D$323,MATCH(H336,$G$4:$G$323,0))</f>
        <v>West</v>
      </c>
      <c r="F336" s="24" t="n">
        <f aca="false">INDEX($E$4:$E$323,MATCH(H336,$G$4:$G$323,0))</f>
        <v>685379.08</v>
      </c>
      <c r="G336" s="24" t="n">
        <f aca="false">INDEX($F$4:$F$323,MATCH(H336,$G$4:$G$323,0))</f>
        <v>860407.198237806</v>
      </c>
      <c r="H336" s="24" t="n">
        <f aca="false">SMALL($G$4:$G$323,1)</f>
        <v>-175028.118237806</v>
      </c>
    </row>
    <row r="337" customFormat="false" ht="15" hidden="false" customHeight="true" outlineLevel="0" collapsed="false">
      <c r="A337" s="1" t="n">
        <v>2</v>
      </c>
      <c r="B337" s="1" t="str">
        <f aca="false">INDEX($A$4:$A$323,MATCH(H337,$G$4:$G$323,0))</f>
        <v>STR-1012</v>
      </c>
      <c r="C337" s="3" t="n">
        <f aca="false">INDEX($B$4:$B$323,MATCH(H337,$G$4:$G$323,0))</f>
        <v>45658</v>
      </c>
      <c r="D337" s="1" t="str">
        <f aca="false">INDEX($C$4:$C$323,MATCH(H337,$G$4:$G$323,0))</f>
        <v>Residential</v>
      </c>
      <c r="E337" s="1" t="str">
        <f aca="false">INDEX($D$4:$D$323,MATCH(H337,$G$4:$G$323,0))</f>
        <v>West</v>
      </c>
      <c r="F337" s="24" t="n">
        <f aca="false">INDEX($E$4:$E$323,MATCH(H337,$G$4:$G$323,0))</f>
        <v>595467.6</v>
      </c>
      <c r="G337" s="24" t="n">
        <f aca="false">INDEX($F$4:$F$323,MATCH(H337,$G$4:$G$323,0))</f>
        <v>729837.037441351</v>
      </c>
      <c r="H337" s="24" t="n">
        <f aca="false">SMALL($G$4:$G$323,2)</f>
        <v>-134369.437441351</v>
      </c>
    </row>
    <row r="338" customFormat="false" ht="15" hidden="false" customHeight="true" outlineLevel="0" collapsed="false">
      <c r="A338" s="1" t="n">
        <v>3</v>
      </c>
      <c r="B338" s="1" t="str">
        <f aca="false">INDEX($A$4:$A$323,MATCH(H338,$G$4:$G$323,0))</f>
        <v>STR-1023</v>
      </c>
      <c r="C338" s="3" t="n">
        <f aca="false">INDEX($B$4:$B$323,MATCH(H338,$G$4:$G$323,0))</f>
        <v>45689</v>
      </c>
      <c r="D338" s="1" t="str">
        <f aca="false">INDEX($C$4:$C$323,MATCH(H338,$G$4:$G$323,0))</f>
        <v>Mall</v>
      </c>
      <c r="E338" s="1" t="str">
        <f aca="false">INDEX($D$4:$D$323,MATCH(H338,$G$4:$G$323,0))</f>
        <v>South</v>
      </c>
      <c r="F338" s="24" t="n">
        <f aca="false">INDEX($E$4:$E$323,MATCH(H338,$G$4:$G$323,0))</f>
        <v>627171.9</v>
      </c>
      <c r="G338" s="24" t="n">
        <f aca="false">INDEX($F$4:$F$323,MATCH(H338,$G$4:$G$323,0))</f>
        <v>753250.116703771</v>
      </c>
      <c r="H338" s="24" t="n">
        <f aca="false">SMALL($G$4:$G$323,3)</f>
        <v>-126078.21670377</v>
      </c>
    </row>
    <row r="339" customFormat="false" ht="15" hidden="false" customHeight="true" outlineLevel="0" collapsed="false">
      <c r="A339" s="1" t="n">
        <v>4</v>
      </c>
      <c r="B339" s="1" t="str">
        <f aca="false">INDEX($A$4:$A$323,MATCH(H339,$G$4:$G$323,0))</f>
        <v>STR-1007</v>
      </c>
      <c r="C339" s="3" t="n">
        <f aca="false">INDEX($B$4:$B$323,MATCH(H339,$G$4:$G$323,0))</f>
        <v>45689</v>
      </c>
      <c r="D339" s="1" t="str">
        <f aca="false">INDEX($C$4:$C$323,MATCH(H339,$G$4:$G$323,0))</f>
        <v>Mall</v>
      </c>
      <c r="E339" s="1" t="str">
        <f aca="false">INDEX($D$4:$D$323,MATCH(H339,$G$4:$G$323,0))</f>
        <v>West</v>
      </c>
      <c r="F339" s="24" t="n">
        <f aca="false">INDEX($E$4:$E$323,MATCH(H339,$G$4:$G$323,0))</f>
        <v>800451.94</v>
      </c>
      <c r="G339" s="24" t="n">
        <f aca="false">INDEX($F$4:$F$323,MATCH(H339,$G$4:$G$323,0))</f>
        <v>909274.153305486</v>
      </c>
      <c r="H339" s="24" t="n">
        <f aca="false">SMALL($G$4:$G$323,4)</f>
        <v>-108822.213305486</v>
      </c>
    </row>
    <row r="340" customFormat="false" ht="15" hidden="false" customHeight="true" outlineLevel="0" collapsed="false">
      <c r="A340" s="1" t="n">
        <v>5</v>
      </c>
      <c r="B340" s="1" t="str">
        <f aca="false">INDEX($A$4:$A$323,MATCH(H340,$G$4:$G$323,0))</f>
        <v>STR-1077</v>
      </c>
      <c r="C340" s="3" t="n">
        <f aca="false">INDEX($B$4:$B$323,MATCH(H340,$G$4:$G$323,0))</f>
        <v>45689</v>
      </c>
      <c r="D340" s="1" t="str">
        <f aca="false">INDEX($C$4:$C$323,MATCH(H340,$G$4:$G$323,0))</f>
        <v>Residential</v>
      </c>
      <c r="E340" s="1" t="str">
        <f aca="false">INDEX($D$4:$D$323,MATCH(H340,$G$4:$G$323,0))</f>
        <v>South</v>
      </c>
      <c r="F340" s="24" t="n">
        <f aca="false">INDEX($E$4:$E$323,MATCH(H340,$G$4:$G$323,0))</f>
        <v>538376</v>
      </c>
      <c r="G340" s="24" t="n">
        <f aca="false">INDEX($F$4:$F$323,MATCH(H340,$G$4:$G$323,0))</f>
        <v>634782.363372392</v>
      </c>
      <c r="H340" s="24" t="n">
        <f aca="false">SMALL($G$4:$G$323,5)</f>
        <v>-96406.3633723921</v>
      </c>
    </row>
    <row r="343" customFormat="false" ht="15" hidden="false" customHeight="true" outlineLevel="0" collapsed="false">
      <c r="A343" s="7" t="s">
        <v>156</v>
      </c>
    </row>
    <row r="344" customFormat="false" ht="15" hidden="false" customHeight="true" outlineLevel="0" collapsed="false">
      <c r="A344" s="9" t="s">
        <v>157</v>
      </c>
      <c r="B344" s="24" t="n">
        <f aca="false">AVERAGE($G$4:$G$323)</f>
        <v>-5.51153789274395E-011</v>
      </c>
    </row>
    <row r="345" customFormat="false" ht="15" hidden="false" customHeight="true" outlineLevel="0" collapsed="false">
      <c r="A345" s="9" t="s">
        <v>158</v>
      </c>
      <c r="B345" s="24" t="n">
        <f aca="false">STDEV($G$4:$G$323)</f>
        <v>42311.8272245988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6"/>
    <col collapsed="false" customWidth="true" hidden="false" outlineLevel="0" max="6" min="6" style="1" width="46"/>
  </cols>
  <sheetData>
    <row r="1" customFormat="false" ht="17.35" hidden="false" customHeight="false" outlineLevel="0" collapsed="false">
      <c r="A1" s="4" t="s">
        <v>159</v>
      </c>
    </row>
    <row r="3" customFormat="false" ht="28.35" hidden="false" customHeight="false" outlineLevel="0" collapsed="false">
      <c r="A3" s="6" t="s">
        <v>160</v>
      </c>
      <c r="B3" s="6" t="s">
        <v>161</v>
      </c>
      <c r="C3" s="6" t="s">
        <v>119</v>
      </c>
      <c r="D3" s="6" t="s">
        <v>162</v>
      </c>
      <c r="E3" s="6" t="s">
        <v>163</v>
      </c>
      <c r="F3" s="6" t="s">
        <v>114</v>
      </c>
    </row>
    <row r="4" customFormat="false" ht="31.5" hidden="false" customHeight="true" outlineLevel="0" collapsed="false">
      <c r="A4" s="25" t="s">
        <v>164</v>
      </c>
      <c r="B4" s="26" t="s">
        <v>4</v>
      </c>
      <c r="C4" s="10" t="n">
        <f aca="false">simple_regression!B7</f>
        <v>0.16724469112487</v>
      </c>
      <c r="D4" s="27" t="n">
        <f aca="false">simple_regression!B11</f>
        <v>2.480061510136E-014</v>
      </c>
      <c r="E4" s="1" t="n">
        <f aca="false">simple_regression!B8</f>
        <v>320</v>
      </c>
      <c r="F4" s="26" t="s">
        <v>165</v>
      </c>
    </row>
    <row r="5" customFormat="false" ht="31.5" hidden="false" customHeight="true" outlineLevel="0" collapsed="false">
      <c r="A5" s="25" t="s">
        <v>166</v>
      </c>
      <c r="B5" s="26" t="s">
        <v>5</v>
      </c>
      <c r="C5" s="10" t="n">
        <f aca="false">simple_regression!B18</f>
        <v>0.736285340003311</v>
      </c>
      <c r="D5" s="27" t="n">
        <f aca="false">simple_regression!B22</f>
        <v>4.75036150900599E-094</v>
      </c>
      <c r="E5" s="1" t="n">
        <f aca="false">simple_regression!B19</f>
        <v>320</v>
      </c>
      <c r="F5" s="26" t="s">
        <v>167</v>
      </c>
    </row>
    <row r="6" customFormat="false" ht="31.5" hidden="false" customHeight="true" outlineLevel="0" collapsed="false">
      <c r="A6" s="25" t="s">
        <v>168</v>
      </c>
      <c r="B6" s="26" t="s">
        <v>8</v>
      </c>
      <c r="C6" s="10" t="n">
        <f aca="false">simple_regression!B29</f>
        <v>0.0131150159644044</v>
      </c>
      <c r="D6" s="27" t="n">
        <f aca="false">simple_regression!B33</f>
        <v>0.0406252966301654</v>
      </c>
      <c r="E6" s="1" t="n">
        <f aca="false">simple_regression!B30</f>
        <v>320</v>
      </c>
      <c r="F6" s="26" t="s">
        <v>169</v>
      </c>
    </row>
    <row r="7" customFormat="false" ht="31.5" hidden="false" customHeight="true" outlineLevel="0" collapsed="false">
      <c r="A7" s="12" t="s">
        <v>170</v>
      </c>
      <c r="B7" s="28" t="s">
        <v>171</v>
      </c>
      <c r="C7" s="29" t="n">
        <f aca="false">multiple_regression!B346</f>
        <v>0.833748265551681</v>
      </c>
      <c r="D7" s="30" t="s">
        <v>172</v>
      </c>
      <c r="E7" s="30" t="n">
        <f aca="false">multiple_regression!B351</f>
        <v>320</v>
      </c>
      <c r="F7" s="2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2026-06-27T18:13:34Z</dcterms:created>
  <dc:creator>openpyxl</dc:creator>
  <dc:description/>
  <dc:language>en-US</dc:language>
  <cp:lastModifiedBy/>
  <dcterms:modified xsi:type="dcterms:W3CDTF">2026-06-27T18:17:04Z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